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jp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E:\Ace\excel-ct-tools\bin\Debug\net48\publish\Resources\"/>
    </mc:Choice>
  </mc:AlternateContent>
  <xr:revisionPtr revIDLastSave="0" documentId="13_ncr:1_{D44C9464-0320-4F31-8B80-F207BC9A130D}" xr6:coauthVersionLast="47" xr6:coauthVersionMax="47" xr10:uidLastSave="{00000000-0000-0000-0000-000000000000}"/>
  <bookViews>
    <workbookView xWindow="28680" yWindow="-120" windowWidth="29040" windowHeight="15840" activeTab="1" xr2:uid="{00000000-000D-0000-FFFF-FFFF00000000}"/>
  </bookViews>
  <sheets>
    <sheet name="项目信息" sheetId="1" r:id="rId1"/>
    <sheet name="分类1" sheetId="4" r:id="rId2"/>
  </sheets>
  <definedNames>
    <definedName name="Cab_Det_1">分类1!$A$44</definedName>
    <definedName name="Cab_Subsum_1">分类1!$A$66</definedName>
    <definedName name="Cab_Sum_1">分类1!$A$7</definedName>
    <definedName name="Cab_Tolsum_1">分类1!$A$71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4" i="4" l="1" a="1"/>
  <c r="H74" i="4"/>
  <c r="A74" i="4" a="1"/>
  <c r="A74" i="4"/>
  <c r="A41" i="4"/>
  <c r="A19" i="4"/>
  <c r="A42" i="4"/>
  <c r="A46" i="4"/>
  <c r="F46" i="4"/>
  <c r="G46" i="4"/>
  <c r="H46" i="4"/>
  <c r="J46" i="4"/>
  <c r="K46" i="4"/>
  <c r="L46" i="4"/>
  <c r="N46" i="4"/>
  <c r="O46" i="4"/>
  <c r="P46" i="4"/>
  <c r="Q46" i="4"/>
  <c r="A47" i="4"/>
  <c r="F47" i="4"/>
  <c r="G47" i="4"/>
  <c r="H47" i="4"/>
  <c r="J47" i="4"/>
  <c r="K47" i="4"/>
  <c r="L47" i="4"/>
  <c r="N47" i="4"/>
  <c r="O47" i="4"/>
  <c r="P47" i="4"/>
  <c r="Q47" i="4"/>
  <c r="A48" i="4"/>
  <c r="F48" i="4"/>
  <c r="G48" i="4"/>
  <c r="H48" i="4"/>
  <c r="J48" i="4"/>
  <c r="K48" i="4"/>
  <c r="L48" i="4"/>
  <c r="N48" i="4"/>
  <c r="O48" i="4"/>
  <c r="P48" i="4"/>
  <c r="Q48" i="4"/>
  <c r="A49" i="4"/>
  <c r="F49" i="4"/>
  <c r="G49" i="4"/>
  <c r="H49" i="4"/>
  <c r="J49" i="4"/>
  <c r="K49" i="4"/>
  <c r="L49" i="4"/>
  <c r="N49" i="4"/>
  <c r="O49" i="4"/>
  <c r="P49" i="4"/>
  <c r="Q49" i="4"/>
  <c r="A50" i="4"/>
  <c r="F50" i="4"/>
  <c r="G50" i="4"/>
  <c r="H50" i="4"/>
  <c r="J50" i="4"/>
  <c r="K50" i="4"/>
  <c r="L50" i="4"/>
  <c r="N50" i="4"/>
  <c r="O50" i="4"/>
  <c r="P50" i="4"/>
  <c r="Q50" i="4"/>
  <c r="A51" i="4"/>
  <c r="F51" i="4"/>
  <c r="G51" i="4"/>
  <c r="H51" i="4"/>
  <c r="J51" i="4"/>
  <c r="K51" i="4"/>
  <c r="L51" i="4"/>
  <c r="N51" i="4"/>
  <c r="O51" i="4"/>
  <c r="P51" i="4"/>
  <c r="Q51" i="4"/>
  <c r="A52" i="4"/>
  <c r="F52" i="4"/>
  <c r="G52" i="4"/>
  <c r="H52" i="4"/>
  <c r="J52" i="4"/>
  <c r="K52" i="4"/>
  <c r="L52" i="4"/>
  <c r="N52" i="4"/>
  <c r="O52" i="4"/>
  <c r="P52" i="4"/>
  <c r="Q52" i="4"/>
  <c r="A53" i="4"/>
  <c r="F53" i="4"/>
  <c r="G53" i="4"/>
  <c r="H53" i="4"/>
  <c r="J53" i="4"/>
  <c r="K53" i="4"/>
  <c r="L53" i="4"/>
  <c r="N53" i="4"/>
  <c r="O53" i="4"/>
  <c r="P53" i="4"/>
  <c r="Q53" i="4"/>
  <c r="A54" i="4"/>
  <c r="F54" i="4"/>
  <c r="G54" i="4"/>
  <c r="H54" i="4"/>
  <c r="J54" i="4"/>
  <c r="K54" i="4"/>
  <c r="L54" i="4"/>
  <c r="N54" i="4"/>
  <c r="O54" i="4"/>
  <c r="P54" i="4"/>
  <c r="Q54" i="4"/>
  <c r="A55" i="4"/>
  <c r="F55" i="4"/>
  <c r="G55" i="4"/>
  <c r="H55" i="4"/>
  <c r="J55" i="4"/>
  <c r="K55" i="4"/>
  <c r="L55" i="4"/>
  <c r="N55" i="4"/>
  <c r="O55" i="4"/>
  <c r="P55" i="4"/>
  <c r="Q55" i="4"/>
  <c r="A56" i="4"/>
  <c r="F56" i="4"/>
  <c r="G56" i="4"/>
  <c r="H56" i="4"/>
  <c r="J56" i="4"/>
  <c r="K56" i="4"/>
  <c r="L56" i="4"/>
  <c r="N56" i="4"/>
  <c r="O56" i="4"/>
  <c r="P56" i="4"/>
  <c r="Q56" i="4"/>
  <c r="A57" i="4"/>
  <c r="F57" i="4"/>
  <c r="G57" i="4"/>
  <c r="H57" i="4"/>
  <c r="J57" i="4"/>
  <c r="K57" i="4"/>
  <c r="L57" i="4"/>
  <c r="N57" i="4"/>
  <c r="O57" i="4"/>
  <c r="P57" i="4"/>
  <c r="Q57" i="4"/>
  <c r="A58" i="4"/>
  <c r="F58" i="4"/>
  <c r="G58" i="4"/>
  <c r="H58" i="4"/>
  <c r="J58" i="4"/>
  <c r="K58" i="4"/>
  <c r="L58" i="4"/>
  <c r="N58" i="4"/>
  <c r="O58" i="4"/>
  <c r="P58" i="4"/>
  <c r="Q58" i="4"/>
  <c r="A59" i="4"/>
  <c r="F59" i="4"/>
  <c r="G59" i="4"/>
  <c r="H59" i="4"/>
  <c r="J59" i="4"/>
  <c r="K59" i="4"/>
  <c r="L59" i="4"/>
  <c r="N59" i="4"/>
  <c r="O59" i="4"/>
  <c r="P59" i="4"/>
  <c r="Q59" i="4"/>
  <c r="A60" i="4"/>
  <c r="F60" i="4"/>
  <c r="G60" i="4"/>
  <c r="H60" i="4"/>
  <c r="J60" i="4"/>
  <c r="K60" i="4"/>
  <c r="L60" i="4"/>
  <c r="N60" i="4"/>
  <c r="O60" i="4"/>
  <c r="P60" i="4"/>
  <c r="Q60" i="4"/>
  <c r="A61" i="4"/>
  <c r="F61" i="4"/>
  <c r="G61" i="4"/>
  <c r="H61" i="4"/>
  <c r="J61" i="4"/>
  <c r="K61" i="4"/>
  <c r="L61" i="4"/>
  <c r="N61" i="4"/>
  <c r="O61" i="4"/>
  <c r="P61" i="4"/>
  <c r="Q61" i="4"/>
  <c r="A62" i="4"/>
  <c r="F62" i="4"/>
  <c r="G62" i="4"/>
  <c r="H62" i="4"/>
  <c r="J62" i="4"/>
  <c r="K62" i="4"/>
  <c r="L62" i="4"/>
  <c r="N62" i="4"/>
  <c r="O62" i="4"/>
  <c r="P62" i="4"/>
  <c r="Q62" i="4"/>
  <c r="A63" i="4"/>
  <c r="F63" i="4"/>
  <c r="G63" i="4"/>
  <c r="H63" i="4"/>
  <c r="J63" i="4"/>
  <c r="K63" i="4"/>
  <c r="L63" i="4"/>
  <c r="N63" i="4"/>
  <c r="O63" i="4"/>
  <c r="P63" i="4"/>
  <c r="Q63" i="4"/>
  <c r="A64" i="4"/>
  <c r="F64" i="4"/>
  <c r="G64" i="4"/>
  <c r="H64" i="4"/>
  <c r="J64" i="4"/>
  <c r="K64" i="4"/>
  <c r="L64" i="4"/>
  <c r="N64" i="4"/>
  <c r="O64" i="4"/>
  <c r="P64" i="4"/>
  <c r="Q64" i="4"/>
  <c r="A65" i="4"/>
  <c r="F65" i="4"/>
  <c r="G65" i="4"/>
  <c r="H65" i="4"/>
  <c r="J65" i="4"/>
  <c r="K65" i="4"/>
  <c r="L65" i="4"/>
  <c r="N65" i="4"/>
  <c r="O65" i="4"/>
  <c r="P65" i="4"/>
  <c r="Q65" i="4"/>
  <c r="A66" i="4"/>
  <c r="H66" i="4"/>
  <c r="K66" i="4"/>
  <c r="V66" i="4"/>
  <c r="W66" i="4"/>
  <c r="A67" i="4"/>
  <c r="H67" i="4"/>
  <c r="K67" i="4"/>
  <c r="A68" i="4"/>
  <c r="H68" i="4"/>
  <c r="A69" i="4"/>
  <c r="H69" i="4"/>
  <c r="A70" i="4"/>
  <c r="H70" i="4"/>
  <c r="K70" i="4"/>
  <c r="G71" i="4"/>
  <c r="H71" i="4"/>
  <c r="K71" i="4"/>
  <c r="H40" i="4"/>
  <c r="A40" i="4"/>
  <c r="H5" i="4"/>
  <c r="A5" i="4"/>
  <c r="A3" i="4"/>
  <c r="A2" i="4"/>
  <c r="B29" i="1"/>
  <c r="H29" i="1"/>
  <c r="F31" i="4"/>
  <c r="F35" i="4"/>
  <c r="C29" i="1"/>
  <c r="J31" i="4"/>
  <c r="H32" i="4"/>
  <c r="J32" i="4"/>
  <c r="H33" i="4"/>
  <c r="J33" i="4"/>
  <c r="H34" i="4"/>
  <c r="J34" i="4"/>
  <c r="J35" i="4"/>
  <c r="E29" i="1"/>
  <c r="H31" i="4"/>
  <c r="G35" i="4"/>
  <c r="H35" i="4"/>
  <c r="D29" i="1"/>
  <c r="K31" i="4"/>
  <c r="K35" i="4"/>
  <c r="L35" i="4"/>
  <c r="C35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8" i="4"/>
  <c r="A17" i="4"/>
  <c r="A16" i="4"/>
  <c r="A15" i="4"/>
  <c r="A14" i="4"/>
  <c r="A13" i="4"/>
  <c r="A12" i="4"/>
  <c r="A11" i="4"/>
  <c r="A10" i="4"/>
  <c r="A9" i="4"/>
  <c r="A8" i="4"/>
  <c r="A7" i="4"/>
  <c r="G29" i="1"/>
  <c r="F29" i="1"/>
  <c r="A1" i="1"/>
  <c r="A2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C53" i="1"/>
  <c r="D53" i="1"/>
  <c r="E53" i="1"/>
  <c r="F53" i="1"/>
  <c r="G53" i="1"/>
  <c r="H53" i="1"/>
  <c r="A54" i="1"/>
  <c r="A55" i="1"/>
  <c r="D55" i="1"/>
  <c r="A56" i="1"/>
  <c r="C56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<sst xmlns="http://schemas.openxmlformats.org/spreadsheetml/2006/main" count="341" uniqueCount="101">
  <si>
    <t>序号</t>
    <phoneticPr fontId="6" type="noConversion"/>
  </si>
  <si>
    <t>总   价</t>
    <phoneticPr fontId="6" type="noConversion"/>
  </si>
  <si>
    <t>毛利</t>
    <phoneticPr fontId="6" type="noConversion"/>
  </si>
  <si>
    <t>毛利率</t>
    <phoneticPr fontId="6" type="noConversion"/>
  </si>
  <si>
    <r>
      <rPr>
        <sz val="11"/>
        <color indexed="8"/>
        <rFont val="宋体"/>
        <family val="3"/>
        <charset val="134"/>
      </rPr>
      <t>小计</t>
    </r>
    <phoneticPr fontId="6" type="noConversion"/>
  </si>
  <si>
    <t>工程信息</t>
  </si>
  <si>
    <t>项目名称</t>
  </si>
  <si>
    <t>项目编号</t>
  </si>
  <si>
    <t/>
  </si>
  <si>
    <t>描述</t>
  </si>
  <si>
    <t>报价交期</t>
  </si>
  <si>
    <t>报价单号</t>
  </si>
  <si>
    <t>创建日期</t>
  </si>
  <si>
    <t>报价审核人</t>
  </si>
  <si>
    <t>项目负责人</t>
  </si>
  <si>
    <t>项目备注</t>
  </si>
  <si>
    <t>客户信息</t>
  </si>
  <si>
    <t>客户名称</t>
  </si>
  <si>
    <t>联系人</t>
  </si>
  <si>
    <t>联系电话</t>
  </si>
  <si>
    <t>客户地址</t>
  </si>
  <si>
    <t>客户邮编</t>
  </si>
  <si>
    <t>客户网址</t>
  </si>
  <si>
    <t>客户email</t>
  </si>
  <si>
    <t>本企业信息</t>
  </si>
  <si>
    <t>单位名称</t>
  </si>
  <si>
    <t>英文名称</t>
  </si>
  <si>
    <t>销售地区</t>
  </si>
  <si>
    <t xml:space="preserve">                          分类汇总                       金额单位：人民币元</t>
  </si>
  <si>
    <t>序号</t>
  </si>
  <si>
    <t>分类名称</t>
  </si>
  <si>
    <t>箱柜数量</t>
  </si>
  <si>
    <t>总   价</t>
  </si>
  <si>
    <t>成本</t>
  </si>
  <si>
    <t>毛利</t>
  </si>
  <si>
    <t>毛利率</t>
  </si>
  <si>
    <t>分类属性</t>
  </si>
  <si>
    <t>小计</t>
  </si>
  <si>
    <t>运费</t>
  </si>
  <si>
    <t>合计</t>
  </si>
  <si>
    <t>人民币大写</t>
  </si>
  <si>
    <t>报表说明</t>
  </si>
  <si>
    <r>
      <t xml:space="preserve">     成套产品报价清单                          </t>
    </r>
    <r>
      <rPr>
        <b/>
        <sz val="10"/>
        <color indexed="8"/>
        <rFont val="宋体"/>
        <family val="3"/>
        <charset val="134"/>
      </rPr>
      <t>金额单位：人民币元</t>
    </r>
    <phoneticPr fontId="6" type="noConversion"/>
  </si>
  <si>
    <t>柜号</t>
    <phoneticPr fontId="6" type="noConversion"/>
  </si>
  <si>
    <t>箱柜名称</t>
    <phoneticPr fontId="6" type="noConversion"/>
  </si>
  <si>
    <t>箱柜型号</t>
    <phoneticPr fontId="6" type="noConversion"/>
  </si>
  <si>
    <t>单位</t>
    <phoneticPr fontId="6" type="noConversion"/>
  </si>
  <si>
    <t>数量</t>
    <phoneticPr fontId="6" type="noConversion"/>
  </si>
  <si>
    <t>单  价</t>
    <phoneticPr fontId="6" type="noConversion"/>
  </si>
  <si>
    <t>备注</t>
    <phoneticPr fontId="6" type="noConversion"/>
  </si>
  <si>
    <t>成本总价</t>
    <phoneticPr fontId="6" type="noConversion"/>
  </si>
  <si>
    <t>箱柜尺寸</t>
    <phoneticPr fontId="6" type="noConversion"/>
  </si>
  <si>
    <t>类别</t>
    <phoneticPr fontId="6" type="noConversion"/>
  </si>
  <si>
    <t>预留</t>
    <phoneticPr fontId="6" type="noConversion"/>
  </si>
  <si>
    <t>图号</t>
    <phoneticPr fontId="6" type="noConversion"/>
  </si>
  <si>
    <r>
      <rPr>
        <sz val="11"/>
        <color indexed="8"/>
        <rFont val="宋体"/>
        <family val="3"/>
        <charset val="134"/>
      </rPr>
      <t>台</t>
    </r>
    <phoneticPr fontId="6" type="noConversion"/>
  </si>
  <si>
    <r>
      <rPr>
        <sz val="11"/>
        <color indexed="8"/>
        <rFont val="宋体"/>
        <family val="3"/>
        <charset val="134"/>
      </rPr>
      <t>包装费</t>
    </r>
    <phoneticPr fontId="6" type="noConversion"/>
  </si>
  <si>
    <r>
      <rPr>
        <sz val="11"/>
        <color indexed="8"/>
        <rFont val="宋体"/>
        <family val="3"/>
        <charset val="134"/>
      </rPr>
      <t>运输费</t>
    </r>
    <phoneticPr fontId="6" type="noConversion"/>
  </si>
  <si>
    <r>
      <rPr>
        <sz val="11"/>
        <color indexed="8"/>
        <rFont val="宋体"/>
        <family val="3"/>
        <charset val="134"/>
      </rPr>
      <t>套</t>
    </r>
    <phoneticPr fontId="6" type="noConversion"/>
  </si>
  <si>
    <r>
      <rPr>
        <sz val="11"/>
        <color indexed="8"/>
        <rFont val="宋体"/>
        <family val="3"/>
        <charset val="134"/>
      </rPr>
      <t>运载工具车</t>
    </r>
    <phoneticPr fontId="6" type="noConversion"/>
  </si>
  <si>
    <r>
      <t>合计(</t>
    </r>
    <r>
      <rPr>
        <sz val="9"/>
        <color indexed="8"/>
        <rFont val="宋体"/>
        <family val="3"/>
        <charset val="134"/>
      </rPr>
      <t>人民币大写</t>
    </r>
    <r>
      <rPr>
        <sz val="9"/>
        <rFont val="宋体"/>
        <family val="3"/>
        <charset val="134"/>
      </rPr>
      <t>)</t>
    </r>
    <phoneticPr fontId="6" type="noConversion"/>
  </si>
  <si>
    <t>说明</t>
    <phoneticPr fontId="6" type="noConversion"/>
  </si>
  <si>
    <t>生产厂家</t>
  </si>
  <si>
    <t>台</t>
  </si>
  <si>
    <t>成套产品报价明细表</t>
  </si>
  <si>
    <t>型号:</t>
  </si>
  <si>
    <t>名称:</t>
  </si>
  <si>
    <t>箱柜尺寸:</t>
  </si>
  <si>
    <t>类别:</t>
  </si>
  <si>
    <t>元件名称</t>
  </si>
  <si>
    <t>型号规格</t>
  </si>
  <si>
    <t>单位</t>
  </si>
  <si>
    <t>数量</t>
  </si>
  <si>
    <t>单   价</t>
  </si>
  <si>
    <t>备注</t>
  </si>
  <si>
    <t>成本单价</t>
  </si>
  <si>
    <t>成本总价</t>
  </si>
  <si>
    <t>报出
系数</t>
  </si>
  <si>
    <t>表价</t>
  </si>
  <si>
    <t>折扣
系数</t>
  </si>
  <si>
    <t>取费
系数</t>
  </si>
  <si>
    <t>成套费</t>
  </si>
  <si>
    <t>类别</t>
  </si>
  <si>
    <t>物料编码</t>
  </si>
  <si>
    <t>产地</t>
  </si>
  <si>
    <t>加工费</t>
  </si>
  <si>
    <t>订货号</t>
  </si>
  <si>
    <t>人工</t>
  </si>
  <si>
    <t>辅料</t>
  </si>
  <si>
    <t>单台合计</t>
  </si>
  <si>
    <t>总计</t>
  </si>
  <si>
    <t>人工费</t>
  </si>
  <si>
    <t>费用</t>
  </si>
  <si>
    <t>管理费及利润</t>
  </si>
  <si>
    <t>税金</t>
  </si>
  <si>
    <t>柜号：</t>
    <phoneticPr fontId="1" type="noConversion"/>
  </si>
  <si>
    <t>报价人</t>
    <phoneticPr fontId="1" type="noConversion"/>
  </si>
  <si>
    <t>李四</t>
    <phoneticPr fontId="1" type="noConversion"/>
  </si>
  <si>
    <t>扬州华科</t>
    <phoneticPr fontId="1" type="noConversion"/>
  </si>
  <si>
    <t>箱柜1</t>
    <phoneticPr fontId="1" type="noConversion"/>
  </si>
  <si>
    <t>台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</si>
</sst>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5" formatCode="&quot;¥&quot;#,##0;&quot;¥&quot;\-#,##0"/>
    <numFmt numFmtId="176" formatCode="0.00_ ;[Red]\-0.00\ "/>
    <numFmt numFmtId="177" formatCode="0.00_);[Red]\-0.00_)"/>
    <numFmt numFmtId="178" formatCode="0_);[Red]\(0\)"/>
    <numFmt numFmtId="179" formatCode="0_ ;[Red]\-0\ "/>
    <numFmt numFmtId="180" formatCode="&quot;备注:&quot;@"/>
    <numFmt numFmtId="181" formatCode="&quot;图号:&quot;@"/>
    <numFmt numFmtId="182" formatCode="0.00_);[Red]\(0.00\)"/>
  </numFmts>
  <fonts count="25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b/>
      <sz val="16"/>
      <color indexed="8"/>
      <name val="宋体"/>
      <family val="3"/>
      <charset val="134"/>
      <scheme val="minor"/>
    </font>
    <font>
      <b/>
      <sz val="12"/>
      <color indexed="8"/>
      <name val="Arial"/>
      <family val="2"/>
    </font>
    <font>
      <b/>
      <sz val="11"/>
      <color indexed="8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</font>
    <font>
      <sz val="11"/>
      <color indexed="8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11"/>
      <color indexed="8"/>
      <name val="宋体"/>
      <family val="3"/>
      <charset val="134"/>
    </font>
    <font>
      <b/>
      <sz val="11"/>
      <name val="宋体"/>
      <family val="3"/>
      <charset val="134"/>
      <scheme val="minor"/>
    </font>
    <font>
      <sz val="12"/>
      <name val="宋体"/>
      <family val="3"/>
      <charset val="134"/>
      <scheme val="minor"/>
    </font>
    <font>
      <b/>
      <sz val="12"/>
      <name val="Arial"/>
      <family val="2"/>
    </font>
    <font>
      <sz val="12"/>
      <color indexed="8"/>
      <name val="宋体"/>
      <family val="3"/>
      <charset val="134"/>
      <scheme val="minor"/>
    </font>
    <font>
      <b/>
      <sz val="10"/>
      <color indexed="8"/>
      <name val="宋体"/>
      <family val="3"/>
      <charset val="134"/>
    </font>
    <font>
      <b/>
      <sz val="11"/>
      <color theme="0" tint="-0.1499984740745262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9"/>
      <color indexed="8"/>
      <name val="宋体"/>
      <family val="3"/>
      <charset val="134"/>
    </font>
    <font>
      <b/>
      <sz val="9"/>
      <name val="宋体"/>
      <family val="3"/>
      <charset val="134"/>
      <scheme val="minor"/>
    </font>
    <font>
      <u/>
      <sz val="11"/>
      <color theme="10"/>
      <name val="宋体"/>
      <family val="2"/>
      <charset val="134"/>
      <scheme val="minor"/>
    </font>
    <font>
      <u/>
      <sz val="11"/>
      <color rgb="FF0000FF"/>
      <name val="宋体"/>
      <family val="3"/>
      <charset val="134"/>
      <scheme val="minor"/>
    </font>
    <font>
      <sz val="14"/>
      <color indexed="8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b/>
      <sz val="9"/>
      <color indexed="8"/>
      <name val="宋体"/>
      <family val="3"/>
      <charset val="134"/>
      <scheme val="minor"/>
    </font>
    <font>
      <sz val="9"/>
      <name val="Consolas"/>
      <family val="3"/>
    </font>
  </fonts>
  <fills count="1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EAEE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4" tint="0.599963377788628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3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19" fillId="0" borderId="0" applyNumberFormat="0" applyFill="0" applyBorder="0" applyAlignment="0" applyProtection="0">
      <alignment vertical="center"/>
    </xf>
  </cellStyleXfs>
  <cellXfs count="220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" fontId="4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5" fillId="0" borderId="0" xfId="0" applyFont="1">
      <alignment vertical="center"/>
    </xf>
    <xf numFmtId="0" fontId="5" fillId="0" borderId="0" xfId="0" applyFont="1" applyAlignment="1">
      <alignment horizontal="center" vertical="center"/>
    </xf>
    <xf numFmtId="1" fontId="7" fillId="3" borderId="2" xfId="0" applyNumberFormat="1" applyFont="1" applyFill="1" applyBorder="1" applyAlignment="1">
      <alignment horizontal="right" vertical="center"/>
    </xf>
    <xf numFmtId="49" fontId="7" fillId="0" borderId="2" xfId="0" applyNumberFormat="1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5" fillId="0" borderId="6" xfId="0" applyFont="1" applyBorder="1">
      <alignment vertical="center"/>
    </xf>
    <xf numFmtId="0" fontId="5" fillId="0" borderId="7" xfId="0" applyFont="1" applyBorder="1">
      <alignment vertical="center"/>
    </xf>
    <xf numFmtId="0" fontId="5" fillId="0" borderId="8" xfId="0" applyFont="1" applyBorder="1">
      <alignment vertical="center"/>
    </xf>
    <xf numFmtId="0" fontId="5" fillId="0" borderId="9" xfId="0" applyFont="1" applyBorder="1">
      <alignment vertical="center"/>
    </xf>
    <xf numFmtId="0" fontId="5" fillId="0" borderId="11" xfId="0" applyFont="1" applyBorder="1">
      <alignment vertical="center"/>
    </xf>
    <xf numFmtId="0" fontId="5" fillId="0" borderId="12" xfId="0" applyFont="1" applyBorder="1">
      <alignment vertical="center"/>
    </xf>
    <xf numFmtId="1" fontId="4" fillId="2" borderId="2" xfId="0" applyNumberFormat="1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176" fontId="4" fillId="2" borderId="2" xfId="0" applyNumberFormat="1" applyFont="1" applyFill="1" applyBorder="1" applyAlignment="1">
      <alignment horizontal="center" vertical="center" wrapText="1"/>
    </xf>
    <xf numFmtId="176" fontId="4" fillId="4" borderId="2" xfId="0" applyNumberFormat="1" applyFont="1" applyFill="1" applyBorder="1" applyAlignment="1">
      <alignment horizontal="center" vertical="center" wrapText="1"/>
    </xf>
    <xf numFmtId="176" fontId="4" fillId="4" borderId="2" xfId="0" applyNumberFormat="1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 wrapText="1"/>
    </xf>
    <xf numFmtId="0" fontId="8" fillId="0" borderId="14" xfId="0" applyFont="1" applyBorder="1" applyAlignment="1">
      <alignment horizontal="left" vertical="center" wrapText="1"/>
    </xf>
    <xf numFmtId="0" fontId="8" fillId="0" borderId="15" xfId="0" applyFont="1" applyBorder="1" applyAlignment="1">
      <alignment horizontal="center" vertical="center" wrapText="1"/>
    </xf>
    <xf numFmtId="177" fontId="8" fillId="0" borderId="16" xfId="0" applyNumberFormat="1" applyFont="1" applyBorder="1" applyAlignment="1">
      <alignment vertical="center" wrapText="1"/>
    </xf>
    <xf numFmtId="176" fontId="5" fillId="5" borderId="13" xfId="0" applyNumberFormat="1" applyFont="1" applyFill="1" applyBorder="1" applyAlignment="1">
      <alignment horizontal="right" vertical="center" wrapText="1"/>
    </xf>
    <xf numFmtId="176" fontId="5" fillId="6" borderId="14" xfId="0" applyNumberFormat="1" applyFont="1" applyFill="1" applyBorder="1" applyAlignment="1">
      <alignment horizontal="right" vertical="center" wrapText="1"/>
    </xf>
    <xf numFmtId="10" fontId="5" fillId="7" borderId="14" xfId="0" applyNumberFormat="1" applyFont="1" applyFill="1" applyBorder="1" applyAlignment="1">
      <alignment horizontal="right" vertical="center" wrapText="1"/>
    </xf>
    <xf numFmtId="176" fontId="5" fillId="6" borderId="14" xfId="0" applyNumberFormat="1" applyFont="1" applyFill="1" applyBorder="1" applyAlignment="1">
      <alignment horizontal="center" vertical="center" wrapText="1"/>
    </xf>
    <xf numFmtId="1" fontId="8" fillId="0" borderId="17" xfId="0" applyNumberFormat="1" applyFont="1" applyBorder="1" applyAlignment="1">
      <alignment horizontal="center" vertical="center" wrapText="1"/>
    </xf>
    <xf numFmtId="0" fontId="8" fillId="0" borderId="18" xfId="0" applyFont="1" applyBorder="1" applyAlignment="1">
      <alignment horizontal="left" vertical="center" wrapText="1"/>
    </xf>
    <xf numFmtId="0" fontId="8" fillId="0" borderId="19" xfId="0" applyFont="1" applyBorder="1" applyAlignment="1">
      <alignment horizontal="center" vertical="center" wrapText="1"/>
    </xf>
    <xf numFmtId="177" fontId="8" fillId="0" borderId="20" xfId="0" applyNumberFormat="1" applyFont="1" applyBorder="1" applyAlignment="1">
      <alignment vertical="center" wrapText="1"/>
    </xf>
    <xf numFmtId="176" fontId="5" fillId="5" borderId="17" xfId="0" applyNumberFormat="1" applyFont="1" applyFill="1" applyBorder="1" applyAlignment="1">
      <alignment horizontal="right" vertical="center" wrapText="1"/>
    </xf>
    <xf numFmtId="176" fontId="5" fillId="6" borderId="18" xfId="0" applyNumberFormat="1" applyFont="1" applyFill="1" applyBorder="1" applyAlignment="1">
      <alignment horizontal="right" vertical="center" wrapText="1"/>
    </xf>
    <xf numFmtId="10" fontId="5" fillId="7" borderId="18" xfId="0" applyNumberFormat="1" applyFont="1" applyFill="1" applyBorder="1" applyAlignment="1">
      <alignment horizontal="right" vertical="center" wrapText="1"/>
    </xf>
    <xf numFmtId="0" fontId="5" fillId="0" borderId="18" xfId="0" applyFont="1" applyBorder="1" applyAlignment="1">
      <alignment vertical="center" wrapText="1"/>
    </xf>
    <xf numFmtId="0" fontId="5" fillId="0" borderId="19" xfId="0" applyFont="1" applyBorder="1" applyAlignment="1">
      <alignment horizontal="center" vertical="center" wrapText="1"/>
    </xf>
    <xf numFmtId="177" fontId="5" fillId="0" borderId="20" xfId="0" applyNumberFormat="1" applyFont="1" applyBorder="1" applyAlignment="1">
      <alignment vertical="center" wrapText="1"/>
    </xf>
    <xf numFmtId="0" fontId="8" fillId="0" borderId="18" xfId="0" applyFont="1" applyBorder="1" applyAlignment="1">
      <alignment vertical="center" wrapText="1"/>
    </xf>
    <xf numFmtId="177" fontId="8" fillId="0" borderId="20" xfId="0" applyNumberFormat="1" applyFont="1" applyBorder="1" applyAlignment="1">
      <alignment horizontal="right" vertical="center" wrapText="1"/>
    </xf>
    <xf numFmtId="1" fontId="5" fillId="0" borderId="18" xfId="0" applyNumberFormat="1" applyFont="1" applyBorder="1" applyAlignment="1">
      <alignment horizontal="left" vertical="center" wrapText="1"/>
    </xf>
    <xf numFmtId="177" fontId="5" fillId="0" borderId="20" xfId="0" applyNumberFormat="1" applyFont="1" applyBorder="1" applyAlignment="1">
      <alignment horizontal="right" vertical="center" wrapText="1"/>
    </xf>
    <xf numFmtId="176" fontId="5" fillId="6" borderId="18" xfId="0" applyNumberFormat="1" applyFont="1" applyFill="1" applyBorder="1" applyAlignment="1">
      <alignment horizontal="center" vertical="center" wrapText="1"/>
    </xf>
    <xf numFmtId="176" fontId="5" fillId="5" borderId="17" xfId="0" applyNumberFormat="1" applyFont="1" applyFill="1" applyBorder="1" applyAlignment="1">
      <alignment vertical="center" wrapText="1"/>
    </xf>
    <xf numFmtId="176" fontId="5" fillId="6" borderId="18" xfId="0" applyNumberFormat="1" applyFont="1" applyFill="1" applyBorder="1" applyAlignment="1">
      <alignment vertical="center" wrapText="1"/>
    </xf>
    <xf numFmtId="10" fontId="5" fillId="7" borderId="18" xfId="0" applyNumberFormat="1" applyFont="1" applyFill="1" applyBorder="1" applyAlignment="1">
      <alignment vertical="center" wrapText="1"/>
    </xf>
    <xf numFmtId="1" fontId="8" fillId="0" borderId="17" xfId="0" applyNumberFormat="1" applyFont="1" applyBorder="1" applyAlignment="1">
      <alignment horizontal="center" vertical="center"/>
    </xf>
    <xf numFmtId="0" fontId="8" fillId="0" borderId="18" xfId="0" applyFont="1" applyBorder="1">
      <alignment vertical="center"/>
    </xf>
    <xf numFmtId="0" fontId="8" fillId="0" borderId="19" xfId="0" applyFont="1" applyBorder="1" applyAlignment="1">
      <alignment horizontal="center" vertical="center"/>
    </xf>
    <xf numFmtId="177" fontId="10" fillId="0" borderId="20" xfId="0" applyNumberFormat="1" applyFont="1" applyBorder="1" applyAlignment="1">
      <alignment horizontal="right" vertical="center"/>
    </xf>
    <xf numFmtId="178" fontId="5" fillId="5" borderId="21" xfId="0" applyNumberFormat="1" applyFont="1" applyFill="1" applyBorder="1">
      <alignment vertical="center"/>
    </xf>
    <xf numFmtId="178" fontId="5" fillId="6" borderId="22" xfId="0" applyNumberFormat="1" applyFont="1" applyFill="1" applyBorder="1">
      <alignment vertical="center"/>
    </xf>
    <xf numFmtId="10" fontId="5" fillId="7" borderId="22" xfId="0" applyNumberFormat="1" applyFont="1" applyFill="1" applyBorder="1">
      <alignment vertical="center"/>
    </xf>
    <xf numFmtId="178" fontId="5" fillId="6" borderId="22" xfId="0" applyNumberFormat="1" applyFont="1" applyFill="1" applyBorder="1" applyAlignment="1">
      <alignment horizontal="center" vertical="center"/>
    </xf>
    <xf numFmtId="1" fontId="5" fillId="0" borderId="0" xfId="0" applyNumberFormat="1" applyFont="1" applyAlignment="1"/>
    <xf numFmtId="1" fontId="0" fillId="0" borderId="0" xfId="0" applyNumberFormat="1" applyAlignment="1"/>
    <xf numFmtId="0" fontId="11" fillId="0" borderId="0" xfId="0" applyFont="1" applyAlignment="1">
      <alignment horizontal="right"/>
    </xf>
    <xf numFmtId="1" fontId="0" fillId="0" borderId="0" xfId="0" applyNumberFormat="1" applyAlignment="1">
      <alignment horizontal="center" vertical="center"/>
    </xf>
    <xf numFmtId="1" fontId="0" fillId="0" borderId="0" xfId="0" applyNumberFormat="1">
      <alignment vertical="center"/>
    </xf>
    <xf numFmtId="49" fontId="4" fillId="2" borderId="2" xfId="0" applyNumberFormat="1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176" fontId="4" fillId="2" borderId="2" xfId="0" applyNumberFormat="1" applyFont="1" applyFill="1" applyBorder="1" applyAlignment="1">
      <alignment horizontal="center" vertical="center"/>
    </xf>
    <xf numFmtId="49" fontId="4" fillId="4" borderId="2" xfId="0" applyNumberFormat="1" applyFont="1" applyFill="1" applyBorder="1" applyAlignment="1">
      <alignment horizontal="center" vertical="center" wrapText="1"/>
    </xf>
    <xf numFmtId="49" fontId="15" fillId="3" borderId="2" xfId="0" applyNumberFormat="1" applyFont="1" applyFill="1" applyBorder="1" applyAlignment="1">
      <alignment horizontal="center" vertical="center" wrapText="1"/>
    </xf>
    <xf numFmtId="1" fontId="8" fillId="0" borderId="13" xfId="0" applyNumberFormat="1" applyFont="1" applyBorder="1" applyAlignment="1">
      <alignment horizontal="center" vertical="center"/>
    </xf>
    <xf numFmtId="49" fontId="8" fillId="0" borderId="14" xfId="0" applyNumberFormat="1" applyFont="1" applyBorder="1" applyAlignment="1">
      <alignment horizontal="left" vertical="center"/>
    </xf>
    <xf numFmtId="0" fontId="8" fillId="0" borderId="14" xfId="0" applyFont="1" applyBorder="1" applyAlignment="1">
      <alignment horizontal="center" vertical="center"/>
    </xf>
    <xf numFmtId="49" fontId="8" fillId="0" borderId="18" xfId="0" applyNumberFormat="1" applyFont="1" applyBorder="1" applyAlignment="1">
      <alignment horizontal="left" vertical="center"/>
    </xf>
    <xf numFmtId="0" fontId="8" fillId="0" borderId="18" xfId="0" applyFont="1" applyBorder="1" applyAlignment="1">
      <alignment horizontal="center" vertical="center"/>
    </xf>
    <xf numFmtId="49" fontId="8" fillId="0" borderId="20" xfId="0" applyNumberFormat="1" applyFont="1" applyBorder="1" applyAlignment="1">
      <alignment horizontal="left" vertical="center"/>
    </xf>
    <xf numFmtId="10" fontId="5" fillId="7" borderId="18" xfId="0" applyNumberFormat="1" applyFont="1" applyFill="1" applyBorder="1" applyAlignment="1">
      <alignment horizontal="right" vertical="center"/>
    </xf>
    <xf numFmtId="49" fontId="5" fillId="6" borderId="19" xfId="0" applyNumberFormat="1" applyFont="1" applyFill="1" applyBorder="1" applyAlignment="1">
      <alignment horizontal="left" vertical="center"/>
    </xf>
    <xf numFmtId="49" fontId="5" fillId="6" borderId="18" xfId="0" applyNumberFormat="1" applyFont="1" applyFill="1" applyBorder="1" applyAlignment="1">
      <alignment horizontal="left" vertical="center"/>
    </xf>
    <xf numFmtId="0" fontId="5" fillId="3" borderId="18" xfId="0" applyFont="1" applyFill="1" applyBorder="1">
      <alignment vertical="center"/>
    </xf>
    <xf numFmtId="0" fontId="5" fillId="3" borderId="28" xfId="0" applyFont="1" applyFill="1" applyBorder="1">
      <alignment vertical="center"/>
    </xf>
    <xf numFmtId="49" fontId="5" fillId="6" borderId="20" xfId="0" applyNumberFormat="1" applyFont="1" applyFill="1" applyBorder="1" applyAlignment="1">
      <alignment horizontal="left" vertical="center"/>
    </xf>
    <xf numFmtId="49" fontId="5" fillId="0" borderId="18" xfId="0" applyNumberFormat="1" applyFont="1" applyBorder="1" applyAlignment="1">
      <alignment horizontal="left" vertical="center"/>
    </xf>
    <xf numFmtId="0" fontId="5" fillId="0" borderId="18" xfId="0" applyFont="1" applyBorder="1" applyAlignment="1">
      <alignment horizontal="center" vertical="center"/>
    </xf>
    <xf numFmtId="10" fontId="5" fillId="7" borderId="19" xfId="0" applyNumberFormat="1" applyFont="1" applyFill="1" applyBorder="1" applyAlignment="1">
      <alignment horizontal="right" vertical="center"/>
    </xf>
    <xf numFmtId="0" fontId="8" fillId="0" borderId="18" xfId="0" applyFont="1" applyBorder="1" applyAlignment="1" applyProtection="1">
      <alignment horizontal="center" vertical="center"/>
      <protection locked="0"/>
    </xf>
    <xf numFmtId="0" fontId="5" fillId="0" borderId="18" xfId="0" applyFont="1" applyBorder="1" applyAlignment="1" applyProtection="1">
      <alignment horizontal="center" vertical="center"/>
      <protection locked="0"/>
    </xf>
    <xf numFmtId="49" fontId="5" fillId="0" borderId="18" xfId="0" applyNumberFormat="1" applyFont="1" applyBorder="1" applyAlignment="1">
      <alignment horizontal="left"/>
    </xf>
    <xf numFmtId="49" fontId="8" fillId="0" borderId="18" xfId="0" applyNumberFormat="1" applyFont="1" applyBorder="1" applyAlignment="1">
      <alignment horizontal="left"/>
    </xf>
    <xf numFmtId="0" fontId="5" fillId="0" borderId="18" xfId="0" applyFont="1" applyBorder="1" applyAlignment="1">
      <alignment horizontal="center"/>
    </xf>
    <xf numFmtId="49" fontId="8" fillId="0" borderId="20" xfId="0" applyNumberFormat="1" applyFont="1" applyBorder="1" applyAlignment="1">
      <alignment horizontal="left"/>
    </xf>
    <xf numFmtId="1" fontId="5" fillId="0" borderId="18" xfId="0" applyNumberFormat="1" applyFont="1" applyBorder="1" applyAlignment="1">
      <alignment horizontal="left"/>
    </xf>
    <xf numFmtId="1" fontId="8" fillId="0" borderId="18" xfId="0" applyNumberFormat="1" applyFont="1" applyBorder="1" applyAlignment="1">
      <alignment horizontal="left"/>
    </xf>
    <xf numFmtId="0" fontId="8" fillId="0" borderId="20" xfId="0" applyFont="1" applyBorder="1" applyAlignment="1">
      <alignment horizontal="left"/>
    </xf>
    <xf numFmtId="178" fontId="5" fillId="6" borderId="19" xfId="0" applyNumberFormat="1" applyFont="1" applyFill="1" applyBorder="1" applyAlignment="1">
      <alignment horizontal="left" vertical="center"/>
    </xf>
    <xf numFmtId="178" fontId="5" fillId="6" borderId="18" xfId="0" applyNumberFormat="1" applyFont="1" applyFill="1" applyBorder="1" applyAlignment="1">
      <alignment horizontal="left" vertical="center"/>
    </xf>
    <xf numFmtId="178" fontId="5" fillId="6" borderId="20" xfId="0" applyNumberFormat="1" applyFont="1" applyFill="1" applyBorder="1" applyAlignment="1">
      <alignment horizontal="left" vertical="center"/>
    </xf>
    <xf numFmtId="5" fontId="8" fillId="0" borderId="20" xfId="0" applyNumberFormat="1" applyFont="1" applyBorder="1" applyAlignment="1">
      <alignment horizontal="left"/>
    </xf>
    <xf numFmtId="0" fontId="16" fillId="0" borderId="18" xfId="0" applyFont="1" applyBorder="1" applyAlignment="1">
      <alignment horizontal="left" shrinkToFit="1"/>
    </xf>
    <xf numFmtId="0" fontId="10" fillId="0" borderId="18" xfId="0" applyFont="1" applyBorder="1" applyAlignment="1">
      <alignment horizontal="center"/>
    </xf>
    <xf numFmtId="0" fontId="8" fillId="0" borderId="18" xfId="0" applyFont="1" applyBorder="1" applyAlignment="1">
      <alignment horizontal="center" shrinkToFit="1"/>
    </xf>
    <xf numFmtId="5" fontId="8" fillId="0" borderId="20" xfId="0" applyNumberFormat="1" applyFont="1" applyBorder="1" applyAlignment="1">
      <alignment horizontal="left" shrinkToFit="1"/>
    </xf>
    <xf numFmtId="10" fontId="5" fillId="7" borderId="22" xfId="0" applyNumberFormat="1" applyFont="1" applyFill="1" applyBorder="1" applyAlignment="1">
      <alignment horizontal="right" vertical="center" shrinkToFit="1"/>
    </xf>
    <xf numFmtId="179" fontId="5" fillId="6" borderId="26" xfId="0" applyNumberFormat="1" applyFont="1" applyFill="1" applyBorder="1" applyAlignment="1">
      <alignment horizontal="left" vertical="center"/>
    </xf>
    <xf numFmtId="179" fontId="5" fillId="6" borderId="22" xfId="0" applyNumberFormat="1" applyFont="1" applyFill="1" applyBorder="1" applyAlignment="1">
      <alignment horizontal="left" vertical="center"/>
    </xf>
    <xf numFmtId="0" fontId="5" fillId="3" borderId="25" xfId="0" applyFont="1" applyFill="1" applyBorder="1">
      <alignment vertical="center"/>
    </xf>
    <xf numFmtId="0" fontId="5" fillId="3" borderId="29" xfId="0" applyFont="1" applyFill="1" applyBorder="1">
      <alignment vertical="center"/>
    </xf>
    <xf numFmtId="179" fontId="5" fillId="6" borderId="27" xfId="0" applyNumberFormat="1" applyFont="1" applyFill="1" applyBorder="1" applyAlignment="1">
      <alignment horizontal="left" vertical="center"/>
    </xf>
    <xf numFmtId="0" fontId="5" fillId="0" borderId="18" xfId="0" applyFont="1" applyBorder="1" applyAlignment="1">
      <alignment horizontal="left" vertical="center"/>
    </xf>
    <xf numFmtId="1" fontId="5" fillId="0" borderId="0" xfId="0" applyNumberFormat="1" applyFont="1" applyAlignment="1">
      <alignment horizontal="center" vertical="center"/>
    </xf>
    <xf numFmtId="0" fontId="5" fillId="0" borderId="0" xfId="0" applyFont="1" applyAlignment="1"/>
    <xf numFmtId="1" fontId="5" fillId="0" borderId="0" xfId="0" applyNumberFormat="1" applyFont="1" applyAlignment="1">
      <alignment horizontal="left" vertical="center"/>
    </xf>
    <xf numFmtId="0" fontId="5" fillId="0" borderId="0" xfId="0" applyFont="1" applyAlignment="1">
      <alignment horizontal="left"/>
    </xf>
    <xf numFmtId="0" fontId="8" fillId="0" borderId="0" xfId="0" applyFont="1" applyAlignment="1">
      <alignment horizontal="right" shrinkToFit="1"/>
    </xf>
    <xf numFmtId="1" fontId="19" fillId="0" borderId="13" xfId="1" applyNumberFormat="1" applyBorder="1" applyAlignment="1">
      <alignment horizontal="center" vertical="center" wrapText="1"/>
    </xf>
    <xf numFmtId="177" fontId="8" fillId="0" borderId="14" xfId="0" applyNumberFormat="1" applyFont="1" applyBorder="1" applyAlignment="1">
      <alignment horizontal="right" vertical="center"/>
    </xf>
    <xf numFmtId="177" fontId="8" fillId="0" borderId="18" xfId="0" applyNumberFormat="1" applyFont="1" applyBorder="1" applyAlignment="1">
      <alignment horizontal="right" vertical="center"/>
    </xf>
    <xf numFmtId="177" fontId="5" fillId="0" borderId="18" xfId="0" applyNumberFormat="1" applyFont="1" applyBorder="1" applyAlignment="1">
      <alignment horizontal="right" vertical="center"/>
    </xf>
    <xf numFmtId="177" fontId="8" fillId="0" borderId="18" xfId="0" applyNumberFormat="1" applyFont="1" applyBorder="1" applyAlignment="1">
      <alignment horizontal="right"/>
    </xf>
    <xf numFmtId="177" fontId="5" fillId="0" borderId="18" xfId="0" applyNumberFormat="1" applyFont="1" applyBorder="1" applyAlignment="1">
      <alignment horizontal="right"/>
    </xf>
    <xf numFmtId="177" fontId="10" fillId="0" borderId="18" xfId="0" applyNumberFormat="1" applyFont="1" applyBorder="1" applyAlignment="1">
      <alignment horizontal="right" shrinkToFit="1"/>
    </xf>
    <xf numFmtId="177" fontId="5" fillId="0" borderId="0" xfId="0" applyNumberFormat="1" applyFont="1">
      <alignment vertical="center"/>
    </xf>
    <xf numFmtId="177" fontId="5" fillId="5" borderId="17" xfId="0" applyNumberFormat="1" applyFont="1" applyFill="1" applyBorder="1" applyAlignment="1">
      <alignment horizontal="right" vertical="center"/>
    </xf>
    <xf numFmtId="177" fontId="5" fillId="5" borderId="21" xfId="0" applyNumberFormat="1" applyFont="1" applyFill="1" applyBorder="1" applyAlignment="1">
      <alignment horizontal="right" vertical="center" shrinkToFit="1"/>
    </xf>
    <xf numFmtId="177" fontId="5" fillId="6" borderId="18" xfId="0" applyNumberFormat="1" applyFont="1" applyFill="1" applyBorder="1" applyAlignment="1">
      <alignment horizontal="right" vertical="center"/>
    </xf>
    <xf numFmtId="177" fontId="5" fillId="6" borderId="22" xfId="0" applyNumberFormat="1" applyFont="1" applyFill="1" applyBorder="1" applyAlignment="1">
      <alignment horizontal="right" vertical="center" shrinkToFit="1"/>
    </xf>
    <xf numFmtId="1" fontId="20" fillId="0" borderId="0" xfId="0" applyNumberFormat="1" applyFont="1" applyAlignment="1">
      <alignment horizontal="left" vertical="center"/>
    </xf>
    <xf numFmtId="49" fontId="8" fillId="0" borderId="1" xfId="0" applyNumberFormat="1" applyFont="1" applyBorder="1" applyAlignment="1">
      <alignment horizontal="left" vertical="center"/>
    </xf>
    <xf numFmtId="0" fontId="8" fillId="0" borderId="1" xfId="0" applyFont="1" applyBorder="1" applyAlignment="1">
      <alignment horizontal="right" vertical="center"/>
    </xf>
    <xf numFmtId="0" fontId="8" fillId="0" borderId="1" xfId="0" applyFont="1" applyBorder="1">
      <alignment vertical="center"/>
    </xf>
    <xf numFmtId="180" fontId="5" fillId="0" borderId="0" xfId="0" applyNumberFormat="1" applyFont="1" applyAlignment="1">
      <alignment horizontal="left" vertical="center"/>
    </xf>
    <xf numFmtId="0" fontId="5" fillId="0" borderId="0" xfId="0" applyFont="1" applyAlignment="1">
      <alignment horizontal="right" vertical="center"/>
    </xf>
    <xf numFmtId="49" fontId="5" fillId="0" borderId="0" xfId="0" applyNumberFormat="1" applyFont="1" applyAlignment="1">
      <alignment horizontal="left" vertical="center"/>
    </xf>
    <xf numFmtId="181" fontId="5" fillId="0" borderId="0" xfId="0" applyNumberFormat="1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10" fillId="2" borderId="2" xfId="0" applyFont="1" applyFill="1" applyBorder="1" applyAlignment="1">
      <alignment horizontal="center" vertical="center"/>
    </xf>
    <xf numFmtId="49" fontId="22" fillId="2" borderId="2" xfId="0" applyNumberFormat="1" applyFont="1" applyFill="1" applyBorder="1" applyAlignment="1">
      <alignment horizontal="center" vertical="center"/>
    </xf>
    <xf numFmtId="176" fontId="4" fillId="8" borderId="2" xfId="0" applyNumberFormat="1" applyFont="1" applyFill="1" applyBorder="1" applyAlignment="1">
      <alignment horizontal="center" vertical="center" wrapText="1"/>
    </xf>
    <xf numFmtId="0" fontId="23" fillId="8" borderId="2" xfId="0" applyFont="1" applyFill="1" applyBorder="1" applyAlignment="1">
      <alignment horizontal="center" vertical="center" wrapText="1" shrinkToFit="1"/>
    </xf>
    <xf numFmtId="0" fontId="23" fillId="8" borderId="5" xfId="0" applyFont="1" applyFill="1" applyBorder="1" applyAlignment="1">
      <alignment horizontal="center" vertical="center" wrapText="1" shrinkToFit="1"/>
    </xf>
    <xf numFmtId="0" fontId="4" fillId="8" borderId="2" xfId="0" applyFont="1" applyFill="1" applyBorder="1" applyAlignment="1">
      <alignment horizontal="center" vertical="center" wrapText="1"/>
    </xf>
    <xf numFmtId="49" fontId="5" fillId="0" borderId="0" xfId="0" applyNumberFormat="1" applyFont="1">
      <alignment vertical="center"/>
    </xf>
    <xf numFmtId="49" fontId="5" fillId="0" borderId="16" xfId="0" applyNumberFormat="1" applyFont="1" applyBorder="1" applyAlignment="1">
      <alignment horizontal="left" vertical="center"/>
    </xf>
    <xf numFmtId="0" fontId="5" fillId="11" borderId="14" xfId="0" applyFont="1" applyFill="1" applyBorder="1" applyAlignment="1">
      <alignment horizontal="center" vertical="center"/>
    </xf>
    <xf numFmtId="0" fontId="5" fillId="5" borderId="16" xfId="0" applyFont="1" applyFill="1" applyBorder="1" applyAlignment="1">
      <alignment horizontal="center" vertical="center"/>
    </xf>
    <xf numFmtId="0" fontId="5" fillId="13" borderId="30" xfId="0" applyFont="1" applyFill="1" applyBorder="1" applyAlignment="1">
      <alignment horizontal="center" vertical="center"/>
    </xf>
    <xf numFmtId="176" fontId="5" fillId="14" borderId="16" xfId="0" applyNumberFormat="1" applyFont="1" applyFill="1" applyBorder="1" applyAlignment="1">
      <alignment horizontal="center" vertical="center"/>
    </xf>
    <xf numFmtId="49" fontId="5" fillId="14" borderId="16" xfId="0" applyNumberFormat="1" applyFont="1" applyFill="1" applyBorder="1" applyAlignment="1">
      <alignment horizontal="left" vertical="center"/>
    </xf>
    <xf numFmtId="182" fontId="5" fillId="14" borderId="16" xfId="0" applyNumberFormat="1" applyFont="1" applyFill="1" applyBorder="1" applyAlignment="1">
      <alignment horizontal="right" vertical="center"/>
    </xf>
    <xf numFmtId="49" fontId="5" fillId="0" borderId="0" xfId="0" applyNumberFormat="1" applyFont="1" applyAlignment="1">
      <alignment vertical="top" wrapText="1"/>
    </xf>
    <xf numFmtId="49" fontId="5" fillId="0" borderId="20" xfId="0" applyNumberFormat="1" applyFont="1" applyBorder="1" applyAlignment="1">
      <alignment horizontal="left" vertical="center"/>
    </xf>
    <xf numFmtId="0" fontId="9" fillId="0" borderId="18" xfId="0" applyFont="1" applyBorder="1" applyAlignment="1">
      <alignment horizontal="left" vertical="center"/>
    </xf>
    <xf numFmtId="0" fontId="8" fillId="0" borderId="18" xfId="0" applyFont="1" applyBorder="1" applyAlignment="1">
      <alignment horizontal="left" vertical="center"/>
    </xf>
    <xf numFmtId="0" fontId="8" fillId="0" borderId="20" xfId="0" applyFont="1" applyBorder="1" applyAlignment="1">
      <alignment horizontal="left" vertical="center"/>
    </xf>
    <xf numFmtId="0" fontId="5" fillId="11" borderId="18" xfId="0" applyFont="1" applyFill="1" applyBorder="1" applyAlignment="1">
      <alignment horizontal="center" vertical="center"/>
    </xf>
    <xf numFmtId="0" fontId="5" fillId="5" borderId="20" xfId="0" applyFont="1" applyFill="1" applyBorder="1" applyAlignment="1">
      <alignment horizontal="center" vertical="center"/>
    </xf>
    <xf numFmtId="0" fontId="5" fillId="13" borderId="28" xfId="0" applyFont="1" applyFill="1" applyBorder="1" applyAlignment="1">
      <alignment horizontal="center" vertical="center"/>
    </xf>
    <xf numFmtId="1" fontId="8" fillId="0" borderId="21" xfId="0" applyNumberFormat="1" applyFont="1" applyBorder="1" applyAlignment="1">
      <alignment horizontal="center" vertical="center"/>
    </xf>
    <xf numFmtId="0" fontId="5" fillId="0" borderId="22" xfId="0" applyFont="1" applyBorder="1">
      <alignment vertical="center"/>
    </xf>
    <xf numFmtId="0" fontId="8" fillId="0" borderId="22" xfId="0" applyFont="1" applyBorder="1">
      <alignment vertical="center"/>
    </xf>
    <xf numFmtId="0" fontId="5" fillId="0" borderId="22" xfId="0" applyFont="1" applyBorder="1" applyAlignment="1">
      <alignment horizontal="center" vertical="center"/>
    </xf>
    <xf numFmtId="0" fontId="8" fillId="0" borderId="27" xfId="0" applyFont="1" applyBorder="1" applyAlignment="1">
      <alignment horizontal="left" vertical="center"/>
    </xf>
    <xf numFmtId="0" fontId="5" fillId="11" borderId="25" xfId="0" applyFont="1" applyFill="1" applyBorder="1" applyAlignment="1">
      <alignment horizontal="center" vertical="center"/>
    </xf>
    <xf numFmtId="0" fontId="5" fillId="5" borderId="31" xfId="0" applyFont="1" applyFill="1" applyBorder="1" applyAlignment="1">
      <alignment horizontal="center" vertical="center"/>
    </xf>
    <xf numFmtId="0" fontId="5" fillId="13" borderId="29" xfId="0" applyFont="1" applyFill="1" applyBorder="1" applyAlignment="1">
      <alignment horizontal="center" vertical="center"/>
    </xf>
    <xf numFmtId="0" fontId="8" fillId="0" borderId="0" xfId="0" applyFont="1" applyAlignment="1">
      <alignment horizontal="left" vertical="center" shrinkToFit="1"/>
    </xf>
    <xf numFmtId="177" fontId="5" fillId="0" borderId="22" xfId="0" applyNumberFormat="1" applyFont="1" applyBorder="1" applyAlignment="1">
      <alignment horizontal="right" vertical="center"/>
    </xf>
    <xf numFmtId="177" fontId="5" fillId="9" borderId="13" xfId="0" applyNumberFormat="1" applyFont="1" applyFill="1" applyBorder="1" applyAlignment="1">
      <alignment horizontal="right" vertical="center"/>
    </xf>
    <xf numFmtId="177" fontId="5" fillId="9" borderId="17" xfId="0" applyNumberFormat="1" applyFont="1" applyFill="1" applyBorder="1" applyAlignment="1">
      <alignment horizontal="right" vertical="center"/>
    </xf>
    <xf numFmtId="177" fontId="5" fillId="9" borderId="21" xfId="0" applyNumberFormat="1" applyFont="1" applyFill="1" applyBorder="1" applyAlignment="1">
      <alignment horizontal="right" vertical="center"/>
    </xf>
    <xf numFmtId="177" fontId="5" fillId="10" borderId="14" xfId="0" applyNumberFormat="1" applyFont="1" applyFill="1" applyBorder="1" applyAlignment="1">
      <alignment horizontal="right" vertical="center"/>
    </xf>
    <xf numFmtId="177" fontId="5" fillId="10" borderId="18" xfId="0" applyNumberFormat="1" applyFont="1" applyFill="1" applyBorder="1" applyAlignment="1">
      <alignment horizontal="right" vertical="center"/>
    </xf>
    <xf numFmtId="177" fontId="5" fillId="10" borderId="22" xfId="0" applyNumberFormat="1" applyFont="1" applyFill="1" applyBorder="1" applyAlignment="1">
      <alignment horizontal="right" vertical="center"/>
    </xf>
    <xf numFmtId="177" fontId="5" fillId="12" borderId="14" xfId="0" applyNumberFormat="1" applyFont="1" applyFill="1" applyBorder="1" applyAlignment="1">
      <alignment horizontal="right" vertical="center"/>
    </xf>
    <xf numFmtId="177" fontId="5" fillId="12" borderId="18" xfId="0" applyNumberFormat="1" applyFont="1" applyFill="1" applyBorder="1" applyAlignment="1">
      <alignment horizontal="right" vertical="center"/>
    </xf>
    <xf numFmtId="177" fontId="5" fillId="12" borderId="22" xfId="0" applyNumberFormat="1" applyFont="1" applyFill="1" applyBorder="1" applyAlignment="1">
      <alignment horizontal="right" vertical="center"/>
    </xf>
    <xf numFmtId="177" fontId="5" fillId="14" borderId="16" xfId="0" applyNumberFormat="1" applyFont="1" applyFill="1" applyBorder="1" applyAlignment="1">
      <alignment horizontal="right" vertical="center"/>
    </xf>
    <xf numFmtId="177" fontId="5" fillId="14" borderId="20" xfId="0" applyNumberFormat="1" applyFont="1" applyFill="1" applyBorder="1" applyAlignment="1">
      <alignment horizontal="right" vertical="center"/>
    </xf>
    <xf numFmtId="177" fontId="5" fillId="14" borderId="27" xfId="0" applyNumberFormat="1" applyFont="1" applyFill="1" applyBorder="1" applyAlignment="1">
      <alignment horizontal="right" vertical="center"/>
    </xf>
    <xf numFmtId="0" fontId="24" fillId="0" borderId="0" xfId="0" applyFont="1">
      <alignment vertical="center"/>
    </xf>
    <xf numFmtId="49" fontId="8" fillId="0" borderId="1" xfId="0" applyNumberFormat="1" applyFont="1" applyBorder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3" fillId="0" borderId="1" xfId="0" applyFont="1" applyBorder="1" applyAlignment="1" applyProtection="1">
      <alignment horizontal="right"/>
      <protection locked="0"/>
    </xf>
    <xf numFmtId="0" fontId="11" fillId="0" borderId="1" xfId="0" applyFont="1" applyBorder="1" applyAlignment="1">
      <alignment horizontal="right"/>
    </xf>
    <xf numFmtId="0" fontId="20" fillId="0" borderId="3" xfId="0" applyFont="1" applyBorder="1" applyAlignment="1">
      <alignment horizontal="left" vertical="center"/>
    </xf>
    <xf numFmtId="0" fontId="20" fillId="0" borderId="4" xfId="0" applyFont="1" applyBorder="1" applyAlignment="1">
      <alignment horizontal="left" vertical="center"/>
    </xf>
    <xf numFmtId="0" fontId="20" fillId="0" borderId="5" xfId="0" applyFont="1" applyBorder="1" applyAlignment="1">
      <alignment horizontal="left" vertical="center"/>
    </xf>
    <xf numFmtId="0" fontId="7" fillId="0" borderId="3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0" fontId="18" fillId="0" borderId="19" xfId="0" applyFont="1" applyBorder="1" applyAlignment="1">
      <alignment shrinkToFit="1"/>
    </xf>
    <xf numFmtId="0" fontId="18" fillId="0" borderId="28" xfId="0" applyFont="1" applyBorder="1" applyAlignment="1">
      <alignment shrinkToFit="1"/>
    </xf>
    <xf numFmtId="1" fontId="8" fillId="0" borderId="17" xfId="0" applyNumberFormat="1" applyFont="1" applyBorder="1" applyAlignment="1">
      <alignment horizontal="center" vertical="center" textRotation="255"/>
    </xf>
    <xf numFmtId="1" fontId="8" fillId="0" borderId="21" xfId="0" applyNumberFormat="1" applyFont="1" applyBorder="1" applyAlignment="1">
      <alignment horizontal="center" vertical="center" textRotation="255"/>
    </xf>
    <xf numFmtId="0" fontId="10" fillId="0" borderId="18" xfId="0" applyFont="1" applyBorder="1" applyAlignment="1">
      <alignment horizontal="left" vertical="center"/>
    </xf>
    <xf numFmtId="0" fontId="5" fillId="0" borderId="18" xfId="0" applyFont="1" applyBorder="1" applyAlignment="1">
      <alignment horizontal="left" vertical="center"/>
    </xf>
    <xf numFmtId="177" fontId="5" fillId="0" borderId="18" xfId="0" applyNumberFormat="1" applyFont="1" applyBorder="1" applyAlignment="1">
      <alignment horizontal="left" vertical="center"/>
    </xf>
    <xf numFmtId="0" fontId="5" fillId="0" borderId="20" xfId="0" applyFont="1" applyBorder="1" applyAlignment="1">
      <alignment horizontal="left" vertical="center"/>
    </xf>
    <xf numFmtId="0" fontId="5" fillId="0" borderId="22" xfId="0" applyFont="1" applyBorder="1" applyAlignment="1">
      <alignment horizontal="left" vertical="center"/>
    </xf>
    <xf numFmtId="177" fontId="5" fillId="0" borderId="22" xfId="0" applyNumberFormat="1" applyFont="1" applyBorder="1" applyAlignment="1">
      <alignment horizontal="left" vertical="center"/>
    </xf>
    <xf numFmtId="0" fontId="5" fillId="0" borderId="27" xfId="0" applyFont="1" applyBorder="1" applyAlignment="1">
      <alignment horizontal="left" vertical="center"/>
    </xf>
    <xf numFmtId="0" fontId="21" fillId="0" borderId="0" xfId="0" applyFont="1" applyAlignment="1" applyProtection="1">
      <alignment horizontal="center" vertical="center"/>
      <protection locked="0"/>
    </xf>
    <xf numFmtId="0" fontId="7" fillId="0" borderId="4" xfId="0" applyFont="1" applyBorder="1" applyAlignment="1">
      <alignment horizontal="left" vertic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2" borderId="2" xfId="0" applyFont="1" applyFill="1" applyBorder="1" applyAlignment="1" applyProtection="1">
      <alignment horizontal="center" vertical="center"/>
      <protection locked="0"/>
    </xf>
    <xf numFmtId="49" fontId="7" fillId="0" borderId="3" xfId="0" applyNumberFormat="1" applyFont="1" applyBorder="1" applyAlignment="1">
      <alignment horizontal="left" vertical="center"/>
    </xf>
    <xf numFmtId="49" fontId="7" fillId="0" borderId="4" xfId="0" applyNumberFormat="1" applyFont="1" applyBorder="1" applyAlignment="1">
      <alignment horizontal="left" vertical="center"/>
    </xf>
    <xf numFmtId="49" fontId="7" fillId="0" borderId="5" xfId="0" applyNumberFormat="1" applyFont="1" applyBorder="1" applyAlignment="1">
      <alignment horizontal="left" vertical="center"/>
    </xf>
    <xf numFmtId="0" fontId="4" fillId="2" borderId="3" xfId="0" applyFont="1" applyFill="1" applyBorder="1" applyAlignment="1" applyProtection="1">
      <alignment horizontal="center" vertical="center"/>
      <protection locked="0"/>
    </xf>
    <xf numFmtId="0" fontId="4" fillId="2" borderId="4" xfId="0" applyFont="1" applyFill="1" applyBorder="1" applyAlignment="1" applyProtection="1">
      <alignment horizontal="center" vertical="center"/>
      <protection locked="0"/>
    </xf>
    <xf numFmtId="0" fontId="4" fillId="2" borderId="5" xfId="0" applyFont="1" applyFill="1" applyBorder="1" applyAlignment="1" applyProtection="1">
      <alignment horizontal="center" vertical="center"/>
      <protection locked="0"/>
    </xf>
    <xf numFmtId="0" fontId="4" fillId="2" borderId="6" xfId="0" applyFont="1" applyFill="1" applyBorder="1" applyAlignment="1" applyProtection="1">
      <alignment horizontal="center" vertical="center"/>
      <protection locked="0"/>
    </xf>
    <xf numFmtId="0" fontId="4" fillId="2" borderId="10" xfId="0" applyFont="1" applyFill="1" applyBorder="1" applyAlignment="1" applyProtection="1">
      <alignment horizontal="center" vertical="center"/>
      <protection locked="0"/>
    </xf>
    <xf numFmtId="0" fontId="4" fillId="2" borderId="7" xfId="0" applyFont="1" applyFill="1" applyBorder="1" applyAlignment="1" applyProtection="1">
      <alignment horizontal="center" vertical="center"/>
      <protection locked="0"/>
    </xf>
    <xf numFmtId="0" fontId="10" fillId="0" borderId="19" xfId="0" applyFont="1" applyBorder="1" applyAlignment="1">
      <alignment horizontal="left" vertical="center" shrinkToFit="1"/>
    </xf>
    <xf numFmtId="0" fontId="10" fillId="0" borderId="23" xfId="0" applyFont="1" applyBorder="1" applyAlignment="1">
      <alignment horizontal="left" vertical="center" shrinkToFit="1"/>
    </xf>
    <xf numFmtId="1" fontId="8" fillId="0" borderId="24" xfId="0" applyNumberFormat="1" applyFont="1" applyBorder="1" applyAlignment="1">
      <alignment horizontal="center" vertical="center" wrapText="1"/>
    </xf>
    <xf numFmtId="1" fontId="8" fillId="0" borderId="25" xfId="0" applyNumberFormat="1" applyFont="1" applyBorder="1" applyAlignment="1">
      <alignment horizontal="center" vertical="center"/>
    </xf>
    <xf numFmtId="0" fontId="10" fillId="0" borderId="18" xfId="0" applyFont="1" applyBorder="1" applyAlignment="1">
      <alignment horizontal="left" vertical="center" wrapText="1"/>
    </xf>
    <xf numFmtId="0" fontId="10" fillId="0" borderId="19" xfId="0" applyFont="1" applyBorder="1" applyAlignment="1">
      <alignment horizontal="left" vertical="center" wrapText="1"/>
    </xf>
    <xf numFmtId="0" fontId="10" fillId="0" borderId="20" xfId="0" applyFont="1" applyBorder="1" applyAlignment="1">
      <alignment horizontal="left" vertical="center"/>
    </xf>
    <xf numFmtId="0" fontId="10" fillId="0" borderId="22" xfId="0" applyFont="1" applyBorder="1" applyAlignment="1">
      <alignment horizontal="left" vertical="center"/>
    </xf>
    <xf numFmtId="0" fontId="10" fillId="0" borderId="26" xfId="0" applyFont="1" applyBorder="1" applyAlignment="1">
      <alignment horizontal="left" vertical="center"/>
    </xf>
    <xf numFmtId="0" fontId="10" fillId="0" borderId="27" xfId="0" applyFont="1" applyBorder="1" applyAlignment="1">
      <alignment horizontal="left" vertical="center"/>
    </xf>
  </cellXfs>
  <cellStyles count="2">
    <cellStyle name="常规" xfId="0" builtinId="0"/>
    <cellStyle name="超链接" xfId="1" builtinId="8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47625</xdr:colOff>
      <xdr:row>2</xdr:row>
      <xdr:rowOff>38100</xdr:rowOff>
    </xdr:to>
    <xdr:pic>
      <xdr:nvPicPr>
        <xdr:cNvPr id="3" name="图片 2">
          <a:extLst>
            <a:ext uri="{FF2B5EF4-FFF2-40B4-BE49-F238E27FC236}">
              <a16:creationId xmlns:a16="http://schemas.microsoft.com/office/drawing/2014/main" id="{AC11F56F-ACA9-1EA8-3D34-CEDE34B318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343025" cy="4953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962025</xdr:colOff>
      <xdr:row>2</xdr:row>
      <xdr:rowOff>38100</xdr:rowOff>
    </xdr:to>
    <xdr:pic>
      <xdr:nvPicPr>
        <xdr:cNvPr id="3" name="图片 2">
          <a:extLst>
            <a:ext uri="{FF2B5EF4-FFF2-40B4-BE49-F238E27FC236}">
              <a16:creationId xmlns:a16="http://schemas.microsoft.com/office/drawing/2014/main" id="{2DB298FB-C442-7CB9-07A9-1AA4B4F4E8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343025" cy="4953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3.bin"/><Relationship Id="rId2" Type="http://schemas.openxmlformats.org/officeDocument/2006/relationships/customProperty" Target="../customProperty2.bin"/><Relationship Id="rId1" Type="http://schemas.openxmlformats.org/officeDocument/2006/relationships/customProperty" Target="../customProperty1.bin"/><Relationship Id="rId5" Type="http://schemas.openxmlformats.org/officeDocument/2006/relationships/drawing" Target="../drawings/drawing1.xml"/><Relationship Id="rId4" Type="http://schemas.openxmlformats.org/officeDocument/2006/relationships/customProperty" Target="../customProperty4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customProperty" Target="../customProperty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9"/>
  <sheetViews>
    <sheetView showGridLines="0" workbookViewId="0">
      <selection activeCell="E22" sqref="E22"/>
    </sheetView>
  </sheetViews>
  <sheetFormatPr defaultRowHeight="18" customHeight="1" x14ac:dyDescent="0.15"/>
  <cols>
    <col min="1" max="1" width="17" customWidth="1"/>
    <col min="2" max="2" width="36" customWidth="1"/>
    <col min="3" max="3" width="9.75" customWidth="1"/>
    <col min="4" max="4" width="20.375" customWidth="1"/>
    <col min="5" max="5" width="15" customWidth="1"/>
    <col min="6" max="6" width="16.125" customWidth="1"/>
    <col min="7" max="8" width="13.375" customWidth="1"/>
  </cols>
  <sheetData>
    <row r="1" spans="1:8" ht="18" customHeight="1" x14ac:dyDescent="0.25">
      <c r="A1" s="198" t="str">
        <f>T(B22)</f>
        <v>扬州华科</v>
      </c>
      <c r="B1" s="198"/>
      <c r="C1" s="198"/>
      <c r="D1" s="198"/>
      <c r="H1" s="1"/>
    </row>
    <row r="2" spans="1:8" ht="18" customHeight="1" x14ac:dyDescent="0.25">
      <c r="A2" s="199" t="str">
        <f>T(B23)</f>
        <v/>
      </c>
      <c r="B2" s="199"/>
      <c r="C2" s="199"/>
      <c r="D2" s="199"/>
      <c r="H2" s="1"/>
    </row>
    <row r="3" spans="1:8" ht="18" customHeight="1" x14ac:dyDescent="0.15">
      <c r="A3" s="2"/>
      <c r="B3" s="3"/>
      <c r="C3" s="3"/>
      <c r="D3" s="3"/>
      <c r="E3" s="4"/>
      <c r="F3" s="4"/>
      <c r="G3" s="4"/>
      <c r="H3" s="5"/>
    </row>
    <row r="4" spans="1:8" ht="18" customHeight="1" x14ac:dyDescent="0.15">
      <c r="A4" s="200" t="s">
        <v>5</v>
      </c>
      <c r="B4" s="200"/>
      <c r="C4" s="200"/>
      <c r="D4" s="200"/>
      <c r="E4" s="200"/>
      <c r="F4" s="200"/>
      <c r="G4" s="4"/>
      <c r="H4" s="5"/>
    </row>
    <row r="5" spans="1:8" ht="18" customHeight="1" x14ac:dyDescent="0.15">
      <c r="A5" s="6" t="s">
        <v>6</v>
      </c>
      <c r="B5" s="201"/>
      <c r="C5" s="202"/>
      <c r="D5" s="203"/>
      <c r="E5" s="6" t="s">
        <v>7</v>
      </c>
      <c r="F5" s="7" t="s">
        <v>8</v>
      </c>
      <c r="G5" s="4"/>
      <c r="H5" s="5"/>
    </row>
    <row r="6" spans="1:8" ht="18" customHeight="1" x14ac:dyDescent="0.15">
      <c r="A6" s="6" t="s">
        <v>9</v>
      </c>
      <c r="B6" s="183"/>
      <c r="C6" s="197"/>
      <c r="D6" s="184"/>
      <c r="E6" s="6" t="s">
        <v>10</v>
      </c>
      <c r="F6" s="8"/>
      <c r="G6" s="4"/>
      <c r="H6" s="5"/>
    </row>
    <row r="7" spans="1:8" ht="18" customHeight="1" x14ac:dyDescent="0.15">
      <c r="A7" s="6" t="s">
        <v>11</v>
      </c>
      <c r="B7" s="201"/>
      <c r="C7" s="202"/>
      <c r="D7" s="203"/>
      <c r="E7" s="9"/>
      <c r="F7" s="10"/>
      <c r="G7" s="4"/>
      <c r="H7" s="5"/>
    </row>
    <row r="8" spans="1:8" ht="18" customHeight="1" x14ac:dyDescent="0.15">
      <c r="A8" s="6" t="s">
        <v>96</v>
      </c>
      <c r="B8" s="183" t="s">
        <v>97</v>
      </c>
      <c r="C8" s="197"/>
      <c r="D8" s="184"/>
      <c r="E8" s="11"/>
      <c r="F8" s="12"/>
      <c r="G8" s="4"/>
      <c r="H8" s="5"/>
    </row>
    <row r="9" spans="1:8" ht="18" customHeight="1" x14ac:dyDescent="0.15">
      <c r="A9" s="6" t="s">
        <v>12</v>
      </c>
      <c r="B9" s="183"/>
      <c r="C9" s="197"/>
      <c r="D9" s="184"/>
      <c r="E9" s="11"/>
      <c r="F9" s="12"/>
      <c r="G9" s="4"/>
      <c r="H9" s="5"/>
    </row>
    <row r="10" spans="1:8" ht="18" customHeight="1" x14ac:dyDescent="0.15">
      <c r="A10" s="6" t="s">
        <v>13</v>
      </c>
      <c r="B10" s="183"/>
      <c r="C10" s="197"/>
      <c r="D10" s="184"/>
      <c r="E10" s="11"/>
      <c r="F10" s="12"/>
      <c r="G10" s="4"/>
      <c r="H10" s="5"/>
    </row>
    <row r="11" spans="1:8" ht="18" customHeight="1" x14ac:dyDescent="0.15">
      <c r="A11" s="6" t="s">
        <v>14</v>
      </c>
      <c r="B11" s="183"/>
      <c r="C11" s="197"/>
      <c r="D11" s="184"/>
      <c r="E11" s="11"/>
      <c r="F11" s="12"/>
      <c r="G11" s="4"/>
      <c r="H11" s="5"/>
    </row>
    <row r="12" spans="1:8" ht="18" customHeight="1" x14ac:dyDescent="0.15">
      <c r="A12" s="6" t="s">
        <v>15</v>
      </c>
      <c r="B12" s="183"/>
      <c r="C12" s="197"/>
      <c r="D12" s="184"/>
      <c r="E12" s="11"/>
      <c r="F12" s="12"/>
      <c r="G12" s="4"/>
      <c r="H12" s="5"/>
    </row>
    <row r="13" spans="1:8" ht="18" customHeight="1" x14ac:dyDescent="0.15">
      <c r="A13" s="204" t="s">
        <v>16</v>
      </c>
      <c r="B13" s="205"/>
      <c r="C13" s="205"/>
      <c r="D13" s="206"/>
      <c r="E13" s="11"/>
      <c r="F13" s="12"/>
      <c r="G13" s="4"/>
      <c r="H13" s="5"/>
    </row>
    <row r="14" spans="1:8" ht="18" customHeight="1" x14ac:dyDescent="0.15">
      <c r="A14" s="6" t="s">
        <v>17</v>
      </c>
      <c r="B14" s="183"/>
      <c r="C14" s="197"/>
      <c r="D14" s="184"/>
      <c r="E14" s="11"/>
      <c r="F14" s="12"/>
      <c r="G14" s="4"/>
      <c r="H14" s="5"/>
    </row>
    <row r="15" spans="1:8" ht="18" customHeight="1" x14ac:dyDescent="0.15">
      <c r="A15" s="6" t="s">
        <v>18</v>
      </c>
      <c r="B15" s="183"/>
      <c r="C15" s="197"/>
      <c r="D15" s="184"/>
      <c r="E15" s="11"/>
      <c r="F15" s="12"/>
      <c r="G15" s="4"/>
      <c r="H15" s="5"/>
    </row>
    <row r="16" spans="1:8" ht="18" customHeight="1" x14ac:dyDescent="0.15">
      <c r="A16" s="6" t="s">
        <v>19</v>
      </c>
      <c r="B16" s="183"/>
      <c r="C16" s="197"/>
      <c r="D16" s="184"/>
      <c r="E16" s="11"/>
      <c r="F16" s="12"/>
      <c r="G16" s="4"/>
      <c r="H16" s="5"/>
    </row>
    <row r="17" spans="1:8" ht="18" customHeight="1" x14ac:dyDescent="0.15">
      <c r="A17" s="6" t="s">
        <v>20</v>
      </c>
      <c r="B17" s="183"/>
      <c r="C17" s="197"/>
      <c r="D17" s="184"/>
      <c r="E17" s="11"/>
      <c r="F17" s="12"/>
      <c r="G17" s="4"/>
      <c r="H17" s="5"/>
    </row>
    <row r="18" spans="1:8" ht="18" customHeight="1" x14ac:dyDescent="0.15">
      <c r="A18" s="6" t="s">
        <v>21</v>
      </c>
      <c r="B18" s="183"/>
      <c r="C18" s="197"/>
      <c r="D18" s="184"/>
      <c r="E18" s="11"/>
      <c r="F18" s="12"/>
      <c r="G18" s="4"/>
      <c r="H18" s="5"/>
    </row>
    <row r="19" spans="1:8" ht="18" customHeight="1" x14ac:dyDescent="0.15">
      <c r="A19" s="6" t="s">
        <v>22</v>
      </c>
      <c r="B19" s="183"/>
      <c r="C19" s="197"/>
      <c r="D19" s="184"/>
      <c r="E19" s="11"/>
      <c r="F19" s="12"/>
      <c r="G19" s="4"/>
      <c r="H19" s="5"/>
    </row>
    <row r="20" spans="1:8" ht="18" customHeight="1" x14ac:dyDescent="0.15">
      <c r="A20" s="6" t="s">
        <v>23</v>
      </c>
      <c r="B20" s="183"/>
      <c r="C20" s="197"/>
      <c r="D20" s="184"/>
      <c r="E20" s="11"/>
      <c r="F20" s="12"/>
      <c r="G20" s="4"/>
      <c r="H20" s="5"/>
    </row>
    <row r="21" spans="1:8" ht="18" customHeight="1" x14ac:dyDescent="0.15">
      <c r="A21" s="204" t="s">
        <v>24</v>
      </c>
      <c r="B21" s="205"/>
      <c r="C21" s="205"/>
      <c r="D21" s="206"/>
      <c r="E21" s="11"/>
      <c r="F21" s="12"/>
      <c r="G21" s="4"/>
      <c r="H21" s="5"/>
    </row>
    <row r="22" spans="1:8" ht="18" customHeight="1" x14ac:dyDescent="0.15">
      <c r="A22" s="6" t="s">
        <v>25</v>
      </c>
      <c r="B22" s="183" t="s">
        <v>98</v>
      </c>
      <c r="C22" s="197"/>
      <c r="D22" s="184"/>
      <c r="E22" s="11"/>
      <c r="F22" s="12"/>
      <c r="G22" s="4"/>
      <c r="H22" s="5"/>
    </row>
    <row r="23" spans="1:8" ht="18" customHeight="1" x14ac:dyDescent="0.15">
      <c r="A23" s="6" t="s">
        <v>26</v>
      </c>
      <c r="B23" s="183"/>
      <c r="C23" s="197"/>
      <c r="D23" s="184"/>
      <c r="E23" s="11"/>
      <c r="F23" s="12"/>
      <c r="G23" s="4"/>
      <c r="H23" s="5"/>
    </row>
    <row r="24" spans="1:8" ht="18" customHeight="1" x14ac:dyDescent="0.15">
      <c r="A24" s="6" t="s">
        <v>18</v>
      </c>
      <c r="B24" s="183"/>
      <c r="C24" s="197"/>
      <c r="D24" s="184"/>
      <c r="E24" s="11"/>
      <c r="F24" s="12"/>
      <c r="G24" s="4"/>
      <c r="H24" s="5"/>
    </row>
    <row r="25" spans="1:8" ht="18" customHeight="1" x14ac:dyDescent="0.15">
      <c r="A25" s="6" t="s">
        <v>19</v>
      </c>
      <c r="B25" s="183"/>
      <c r="C25" s="197"/>
      <c r="D25" s="184"/>
      <c r="E25" s="11"/>
      <c r="F25" s="12"/>
      <c r="G25" s="4"/>
      <c r="H25" s="5"/>
    </row>
    <row r="26" spans="1:8" ht="18" customHeight="1" x14ac:dyDescent="0.15">
      <c r="A26" s="6" t="s">
        <v>27</v>
      </c>
      <c r="B26" s="183"/>
      <c r="C26" s="197"/>
      <c r="D26" s="184"/>
      <c r="E26" s="11"/>
      <c r="F26" s="12"/>
      <c r="G26" s="4"/>
      <c r="H26" s="5"/>
    </row>
    <row r="27" spans="1:8" ht="18" customHeight="1" x14ac:dyDescent="0.15">
      <c r="A27" s="207" t="s">
        <v>28</v>
      </c>
      <c r="B27" s="208"/>
      <c r="C27" s="208"/>
      <c r="D27" s="209"/>
      <c r="E27" s="13"/>
      <c r="F27" s="14"/>
      <c r="G27" s="4"/>
      <c r="H27" s="5"/>
    </row>
    <row r="28" spans="1:8" ht="18" customHeight="1" x14ac:dyDescent="0.15">
      <c r="A28" s="15" t="s">
        <v>29</v>
      </c>
      <c r="B28" s="16" t="s">
        <v>30</v>
      </c>
      <c r="C28" s="16" t="s">
        <v>31</v>
      </c>
      <c r="D28" s="17" t="s">
        <v>32</v>
      </c>
      <c r="E28" s="18" t="s">
        <v>33</v>
      </c>
      <c r="F28" s="19" t="s">
        <v>34</v>
      </c>
      <c r="G28" s="20" t="s">
        <v>35</v>
      </c>
      <c r="H28" s="19" t="s">
        <v>36</v>
      </c>
    </row>
    <row r="29" spans="1:8" ht="18" customHeight="1" x14ac:dyDescent="0.15">
      <c r="A29" s="108">
        <f t="shared" ref="A29:A56" si="0">ROW()-ROW(A$28)</f>
        <v>1</v>
      </c>
      <c r="B29" s="21" t="e">
        <f ca="1">MID(CELL("filename",folderTablefde937420be6433383ffe23c6ac3a25c),SEARCH({"xlsx]",".xls]"},CELL("filename",folderTablefde937420be6433383ffe23c6ac3a25c))+5,31)</f>
        <v>#NAME?</v>
      </c>
      <c r="C29" s="22">
        <f ca="1">IF(H29="箱变",分类1!F35,分类1!F31*IF(分类1!F35="",1,分类1!F35))</f>
        <v>1</v>
      </c>
      <c r="D29" s="23">
        <f ca="1">ROUND(分类1!H35,2)</f>
        <v>0</v>
      </c>
      <c r="E29" s="24">
        <f ca="1">ROUND(分类1!J35,2)</f>
        <v>0</v>
      </c>
      <c r="F29" s="25">
        <f ca="1">ROUND((D29-E29),2)</f>
        <v>0</v>
      </c>
      <c r="G29" s="26">
        <f ca="1">IF(D29=0,0,F29/D29)</f>
        <v>0</v>
      </c>
      <c r="H29" s="27" t="str">
        <f ca="1">IF(OR(ISNUMBER(FIND("箱变", B29))=TRUE,ISNUMBER(FIND("欧变", B29))=TRUE,ISNUMBER(FIND("美变", B29))=TRUE,ISNUMBER(FIND("KVA", UPPER(B29)))=TRUE,ISNUMBER(FIND("箱式变电", B29))=TRUE),"箱变","常规")</f>
        <v>常规</v>
      </c>
    </row>
    <row r="30" spans="1:8" ht="18" customHeight="1" x14ac:dyDescent="0.15">
      <c r="A30" s="28">
        <f t="shared" si="0"/>
        <v>2</v>
      </c>
      <c r="B30" s="29"/>
      <c r="C30" s="30"/>
      <c r="D30" s="31"/>
      <c r="E30" s="32"/>
      <c r="F30" s="33"/>
      <c r="G30" s="34"/>
      <c r="H30" s="27"/>
    </row>
    <row r="31" spans="1:8" ht="18" customHeight="1" x14ac:dyDescent="0.15">
      <c r="A31" s="28">
        <f t="shared" si="0"/>
        <v>3</v>
      </c>
      <c r="B31" s="29"/>
      <c r="C31" s="30"/>
      <c r="D31" s="31"/>
      <c r="E31" s="32"/>
      <c r="F31" s="33"/>
      <c r="G31" s="34"/>
      <c r="H31" s="27"/>
    </row>
    <row r="32" spans="1:8" ht="18" customHeight="1" x14ac:dyDescent="0.15">
      <c r="A32" s="28">
        <f t="shared" si="0"/>
        <v>4</v>
      </c>
      <c r="B32" s="35"/>
      <c r="C32" s="36"/>
      <c r="D32" s="31"/>
      <c r="E32" s="32"/>
      <c r="F32" s="33"/>
      <c r="G32" s="34"/>
      <c r="H32" s="27"/>
    </row>
    <row r="33" spans="1:8" ht="18" customHeight="1" x14ac:dyDescent="0.15">
      <c r="A33" s="28">
        <f t="shared" si="0"/>
        <v>5</v>
      </c>
      <c r="B33" s="29"/>
      <c r="C33" s="30"/>
      <c r="D33" s="31"/>
      <c r="E33" s="32"/>
      <c r="F33" s="33"/>
      <c r="G33" s="34"/>
      <c r="H33" s="27"/>
    </row>
    <row r="34" spans="1:8" ht="18" customHeight="1" x14ac:dyDescent="0.15">
      <c r="A34" s="28">
        <f t="shared" si="0"/>
        <v>6</v>
      </c>
      <c r="B34" s="29"/>
      <c r="C34" s="30"/>
      <c r="D34" s="31"/>
      <c r="E34" s="32"/>
      <c r="F34" s="33"/>
      <c r="G34" s="34"/>
      <c r="H34" s="27"/>
    </row>
    <row r="35" spans="1:8" ht="18" customHeight="1" x14ac:dyDescent="0.15">
      <c r="A35" s="28">
        <f t="shared" si="0"/>
        <v>7</v>
      </c>
      <c r="B35" s="29"/>
      <c r="C35" s="30"/>
      <c r="D35" s="31"/>
      <c r="E35" s="32"/>
      <c r="F35" s="33"/>
      <c r="G35" s="34"/>
      <c r="H35" s="27"/>
    </row>
    <row r="36" spans="1:8" ht="18" customHeight="1" x14ac:dyDescent="0.15">
      <c r="A36" s="28">
        <f t="shared" si="0"/>
        <v>8</v>
      </c>
      <c r="B36" s="29"/>
      <c r="C36" s="30"/>
      <c r="D36" s="31"/>
      <c r="E36" s="32"/>
      <c r="F36" s="33"/>
      <c r="G36" s="34"/>
      <c r="H36" s="27"/>
    </row>
    <row r="37" spans="1:8" ht="18" customHeight="1" x14ac:dyDescent="0.15">
      <c r="A37" s="28">
        <f t="shared" si="0"/>
        <v>9</v>
      </c>
      <c r="B37" s="29"/>
      <c r="C37" s="30"/>
      <c r="D37" s="31"/>
      <c r="E37" s="32"/>
      <c r="F37" s="33"/>
      <c r="G37" s="34"/>
      <c r="H37" s="27"/>
    </row>
    <row r="38" spans="1:8" ht="18" customHeight="1" x14ac:dyDescent="0.15">
      <c r="A38" s="28">
        <f t="shared" si="0"/>
        <v>10</v>
      </c>
      <c r="B38" s="29"/>
      <c r="C38" s="30"/>
      <c r="D38" s="31"/>
      <c r="E38" s="32"/>
      <c r="F38" s="33"/>
      <c r="G38" s="34"/>
      <c r="H38" s="27"/>
    </row>
    <row r="39" spans="1:8" ht="18" customHeight="1" x14ac:dyDescent="0.15">
      <c r="A39" s="28">
        <f t="shared" si="0"/>
        <v>11</v>
      </c>
      <c r="B39" s="29"/>
      <c r="C39" s="30"/>
      <c r="D39" s="31"/>
      <c r="E39" s="32"/>
      <c r="F39" s="33"/>
      <c r="G39" s="34"/>
      <c r="H39" s="27"/>
    </row>
    <row r="40" spans="1:8" ht="18" customHeight="1" x14ac:dyDescent="0.15">
      <c r="A40" s="28">
        <f t="shared" si="0"/>
        <v>12</v>
      </c>
      <c r="B40" s="29"/>
      <c r="C40" s="30"/>
      <c r="D40" s="31"/>
      <c r="E40" s="32"/>
      <c r="F40" s="33"/>
      <c r="G40" s="34"/>
      <c r="H40" s="27"/>
    </row>
    <row r="41" spans="1:8" ht="18" customHeight="1" x14ac:dyDescent="0.15">
      <c r="A41" s="28">
        <f t="shared" si="0"/>
        <v>13</v>
      </c>
      <c r="B41" s="29"/>
      <c r="C41" s="30"/>
      <c r="D41" s="31"/>
      <c r="E41" s="32"/>
      <c r="F41" s="33"/>
      <c r="G41" s="34"/>
      <c r="H41" s="27"/>
    </row>
    <row r="42" spans="1:8" ht="18" customHeight="1" x14ac:dyDescent="0.15">
      <c r="A42" s="28">
        <f t="shared" si="0"/>
        <v>14</v>
      </c>
      <c r="B42" s="29"/>
      <c r="C42" s="30"/>
      <c r="D42" s="31"/>
      <c r="E42" s="32"/>
      <c r="F42" s="33"/>
      <c r="G42" s="34"/>
      <c r="H42" s="27"/>
    </row>
    <row r="43" spans="1:8" ht="18" customHeight="1" x14ac:dyDescent="0.15">
      <c r="A43" s="28">
        <f t="shared" si="0"/>
        <v>15</v>
      </c>
      <c r="B43" s="29"/>
      <c r="C43" s="30"/>
      <c r="D43" s="31"/>
      <c r="E43" s="32"/>
      <c r="F43" s="33"/>
      <c r="G43" s="34"/>
      <c r="H43" s="27"/>
    </row>
    <row r="44" spans="1:8" ht="18" customHeight="1" x14ac:dyDescent="0.15">
      <c r="A44" s="28">
        <f t="shared" si="0"/>
        <v>16</v>
      </c>
      <c r="B44" s="29"/>
      <c r="C44" s="30"/>
      <c r="D44" s="31"/>
      <c r="E44" s="32"/>
      <c r="F44" s="33"/>
      <c r="G44" s="34"/>
      <c r="H44" s="27"/>
    </row>
    <row r="45" spans="1:8" ht="18" customHeight="1" x14ac:dyDescent="0.15">
      <c r="A45" s="28">
        <f t="shared" si="0"/>
        <v>17</v>
      </c>
      <c r="B45" s="29"/>
      <c r="C45" s="30"/>
      <c r="D45" s="31"/>
      <c r="E45" s="32"/>
      <c r="F45" s="33"/>
      <c r="G45" s="34"/>
      <c r="H45" s="27"/>
    </row>
    <row r="46" spans="1:8" ht="18" customHeight="1" x14ac:dyDescent="0.15">
      <c r="A46" s="28">
        <f t="shared" si="0"/>
        <v>18</v>
      </c>
      <c r="B46" s="35"/>
      <c r="C46" s="36"/>
      <c r="D46" s="37"/>
      <c r="E46" s="32"/>
      <c r="F46" s="33"/>
      <c r="G46" s="34"/>
      <c r="H46" s="27"/>
    </row>
    <row r="47" spans="1:8" ht="18" customHeight="1" x14ac:dyDescent="0.15">
      <c r="A47" s="28">
        <f t="shared" si="0"/>
        <v>19</v>
      </c>
      <c r="B47" s="29"/>
      <c r="C47" s="30"/>
      <c r="D47" s="37"/>
      <c r="E47" s="32"/>
      <c r="F47" s="33"/>
      <c r="G47" s="34"/>
      <c r="H47" s="27"/>
    </row>
    <row r="48" spans="1:8" ht="18" customHeight="1" x14ac:dyDescent="0.15">
      <c r="A48" s="28">
        <f t="shared" si="0"/>
        <v>20</v>
      </c>
      <c r="B48" s="29"/>
      <c r="C48" s="30"/>
      <c r="D48" s="37"/>
      <c r="E48" s="32"/>
      <c r="F48" s="33"/>
      <c r="G48" s="34"/>
      <c r="H48" s="27"/>
    </row>
    <row r="49" spans="1:8" ht="18" customHeight="1" x14ac:dyDescent="0.15">
      <c r="A49" s="28">
        <f t="shared" si="0"/>
        <v>21</v>
      </c>
      <c r="B49" s="38"/>
      <c r="C49" s="30"/>
      <c r="D49" s="37"/>
      <c r="E49" s="32"/>
      <c r="F49" s="33"/>
      <c r="G49" s="34"/>
      <c r="H49" s="27"/>
    </row>
    <row r="50" spans="1:8" ht="18" customHeight="1" x14ac:dyDescent="0.15">
      <c r="A50" s="28">
        <f t="shared" si="0"/>
        <v>22</v>
      </c>
      <c r="B50" s="38"/>
      <c r="C50" s="30"/>
      <c r="D50" s="39"/>
      <c r="E50" s="32"/>
      <c r="F50" s="33"/>
      <c r="G50" s="34"/>
      <c r="H50" s="27"/>
    </row>
    <row r="51" spans="1:8" ht="18" customHeight="1" x14ac:dyDescent="0.15">
      <c r="A51" s="28">
        <f t="shared" si="0"/>
        <v>23</v>
      </c>
      <c r="B51" s="38"/>
      <c r="C51" s="30"/>
      <c r="D51" s="31"/>
      <c r="E51" s="32"/>
      <c r="F51" s="33"/>
      <c r="G51" s="34"/>
      <c r="H51" s="27"/>
    </row>
    <row r="52" spans="1:8" ht="18" customHeight="1" x14ac:dyDescent="0.15">
      <c r="A52" s="28">
        <f t="shared" si="0"/>
        <v>24</v>
      </c>
      <c r="B52" s="38"/>
      <c r="C52" s="30"/>
      <c r="D52" s="31"/>
      <c r="E52" s="32"/>
      <c r="F52" s="33"/>
      <c r="G52" s="34"/>
      <c r="H52" s="27"/>
    </row>
    <row r="53" spans="1:8" ht="18" customHeight="1" x14ac:dyDescent="0.15">
      <c r="A53" s="28">
        <f t="shared" si="0"/>
        <v>25</v>
      </c>
      <c r="B53" s="40" t="s">
        <v>37</v>
      </c>
      <c r="C53" s="36">
        <f ca="1">ROUND(SUM(C28:INDEX(C:C,ROW()-1)),2)</f>
        <v>1</v>
      </c>
      <c r="D53" s="41">
        <f ca="1">ROUND(SUM(D28:INDEX(D:D,ROW()-1)),2)</f>
        <v>0</v>
      </c>
      <c r="E53" s="32">
        <f ca="1">ROUND(SUM(E28:INDEX(E:E,ROW()-1)),2)</f>
        <v>0</v>
      </c>
      <c r="F53" s="33">
        <f ca="1">SUM(F28:INDEX(F:F,ROW()-1))</f>
        <v>0</v>
      </c>
      <c r="G53" s="34">
        <f ca="1">IF(D53=0,0,F53/D53)</f>
        <v>0</v>
      </c>
      <c r="H53" s="42">
        <f ca="1">SUM(H28:INDEX(H:H,ROW()-1))</f>
        <v>0</v>
      </c>
    </row>
    <row r="54" spans="1:8" ht="18" customHeight="1" x14ac:dyDescent="0.15">
      <c r="A54" s="28">
        <f t="shared" si="0"/>
        <v>26</v>
      </c>
      <c r="B54" s="40" t="s">
        <v>38</v>
      </c>
      <c r="C54" s="36"/>
      <c r="D54" s="37">
        <v>0</v>
      </c>
      <c r="E54" s="43"/>
      <c r="F54" s="44"/>
      <c r="G54" s="45"/>
      <c r="H54" s="42"/>
    </row>
    <row r="55" spans="1:8" ht="18" customHeight="1" x14ac:dyDescent="0.15">
      <c r="A55" s="46">
        <f t="shared" si="0"/>
        <v>27</v>
      </c>
      <c r="B55" s="47" t="s">
        <v>39</v>
      </c>
      <c r="C55" s="48"/>
      <c r="D55" s="49">
        <f ca="1">ROUND(SUM(D53:D54),2)</f>
        <v>0</v>
      </c>
      <c r="E55" s="50"/>
      <c r="F55" s="51"/>
      <c r="G55" s="52"/>
      <c r="H55" s="53"/>
    </row>
    <row r="56" spans="1:8" ht="18" customHeight="1" x14ac:dyDescent="0.15">
      <c r="A56" s="46">
        <f t="shared" si="0"/>
        <v>28</v>
      </c>
      <c r="B56" s="47" t="s">
        <v>40</v>
      </c>
      <c r="C56" s="210" t="str">
        <f ca="1">TEXT(SUBSTITUTE(IF(D55="","",IF(MOD(D55,1)=0,TEXT(INT(D55),"[DBNum2][$-804]G/通用格式元整"),(TEXT(INT(D55),"[DBNum2][$-804]G/通用格式元")&amp;TEXT((INT(D55*10)-INT(D55)*10),"[DBNum2][$-804]G/通用格式角")&amp;TEXT((INT(D55*100)-INT(D55*10)*10),"[DBNum2][$-804]G/通用格式分")))),"零角","零"),)</f>
        <v>零元整</v>
      </c>
      <c r="D56" s="211"/>
      <c r="E56" s="4"/>
      <c r="F56" s="4"/>
      <c r="G56" s="4"/>
      <c r="H56" s="5"/>
    </row>
    <row r="57" spans="1:8" ht="18" customHeight="1" x14ac:dyDescent="0.15">
      <c r="A57" s="212" t="s">
        <v>41</v>
      </c>
      <c r="B57" s="214"/>
      <c r="C57" s="215"/>
      <c r="D57" s="216"/>
      <c r="E57" s="4"/>
      <c r="F57" s="4"/>
      <c r="G57" s="4"/>
      <c r="H57" s="5"/>
    </row>
    <row r="58" spans="1:8" ht="18" customHeight="1" x14ac:dyDescent="0.15">
      <c r="A58" s="213"/>
      <c r="B58" s="217"/>
      <c r="C58" s="218"/>
      <c r="D58" s="219"/>
      <c r="E58" s="4"/>
      <c r="F58" s="4"/>
      <c r="G58" s="4"/>
      <c r="H58" s="5"/>
    </row>
    <row r="59" spans="1:8" ht="18" customHeight="1" x14ac:dyDescent="0.15">
      <c r="A59" s="54"/>
      <c r="B59" s="55"/>
      <c r="C59" s="55"/>
      <c r="D59" s="56"/>
      <c r="H59" s="1"/>
    </row>
  </sheetData>
  <mergeCells count="30">
    <mergeCell ref="B25:D25"/>
    <mergeCell ref="B26:D26"/>
    <mergeCell ref="A27:D27"/>
    <mergeCell ref="C56:D56"/>
    <mergeCell ref="A57:A58"/>
    <mergeCell ref="B57:D58"/>
    <mergeCell ref="B24:D24"/>
    <mergeCell ref="A13:D13"/>
    <mergeCell ref="B14:D14"/>
    <mergeCell ref="B15:D15"/>
    <mergeCell ref="B16:D16"/>
    <mergeCell ref="B17:D17"/>
    <mergeCell ref="B18:D18"/>
    <mergeCell ref="B19:D19"/>
    <mergeCell ref="B20:D20"/>
    <mergeCell ref="A21:D21"/>
    <mergeCell ref="B22:D22"/>
    <mergeCell ref="B23:D23"/>
    <mergeCell ref="B12:D12"/>
    <mergeCell ref="A1:D1"/>
    <mergeCell ref="A2:D2"/>
    <mergeCell ref="A4:D4"/>
    <mergeCell ref="E4:F4"/>
    <mergeCell ref="B5:D5"/>
    <mergeCell ref="B6:D6"/>
    <mergeCell ref="B7:D7"/>
    <mergeCell ref="B8:D8"/>
    <mergeCell ref="B9:D9"/>
    <mergeCell ref="B10:D10"/>
    <mergeCell ref="B11:D11"/>
  </mergeCells>
  <phoneticPr fontId="1" type="noConversion"/>
  <dataValidations disablePrompts="1" count="1">
    <dataValidation type="list" allowBlank="1" showInputMessage="1" showErrorMessage="1" sqref="H29:H52" xr:uid="{6DBFB6B5-6B2F-497F-B2A3-DFA5C9249B6D}">
      <formula1>"常规,箱变"</formula1>
    </dataValidation>
  </dataValidations>
  <hyperlinks>
    <hyperlink ref="A29" location="folderTablefde937420be6433383ffe23c6ac3a25c" tooltip="点击进入本分类报价清单" display="folderTablefde937420be6433383ffe23c6ac3a25c" xr:uid="{63586F4E-FBC1-470A-90D3-F34185FAD702}"/>
  </hyperlinks>
  <pageMargins left="0.7" right="0.7" top="0.75" bottom="0.75" header="0.3" footer="0.3"/>
  <customProperties>
    <customPr name="FIXPROJECTID" r:id="rId1"/>
    <customPr name="PROJECTTYPE" r:id="rId2"/>
    <customPr name="SCMDATA" r:id="rId3"/>
    <customPr name="SCMPROJECTID" r:id="rId4"/>
  </customProperties>
  <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F42C16-0E02-45B5-8A6E-93E7DC082CF9}">
  <dimension ref="A1:X75"/>
  <sheetViews>
    <sheetView showGridLines="0" tabSelected="1" workbookViewId="0">
      <selection activeCell="A7" sqref="A7"/>
    </sheetView>
  </sheetViews>
  <sheetFormatPr defaultRowHeight="18" customHeight="1" x14ac:dyDescent="0.15"/>
  <cols>
    <col min="1" max="1" width="5" customWidth="1"/>
    <col min="2" max="2" width="13.625" customWidth="1"/>
    <col min="3" max="3" width="19.375" customWidth="1"/>
    <col min="4" max="4" width="13.5" customWidth="1"/>
    <col min="5" max="6" width="5.25" customWidth="1"/>
    <col min="7" max="11" width="12.625" customWidth="1"/>
    <col min="12" max="12" width="7.5" customWidth="1"/>
    <col min="13" max="13" width="12.625" customWidth="1"/>
    <col min="14" max="14" width="9.75" customWidth="1"/>
    <col min="15" max="15" width="7.5" hidden="1" customWidth="1"/>
    <col min="16" max="16" width="12.625" hidden="1" customWidth="1"/>
    <col min="17" max="17" width="6" customWidth="1"/>
    <col min="18" max="19" width="9.75" customWidth="1"/>
    <col min="20" max="21" width="0" hidden="1" customWidth="1"/>
    <col min="22" max="23" width="8.75" customWidth="1"/>
    <col min="25" max="25" width="0" hidden="1" customWidth="1"/>
    <col min="28" max="28" width="0" hidden="1" customWidth="1"/>
  </cols>
  <sheetData>
    <row r="1" spans="1:17" ht="18" customHeight="1" x14ac:dyDescent="0.15">
      <c r="A1" s="57"/>
      <c r="F1" s="58"/>
      <c r="I1" s="58"/>
    </row>
    <row r="2" spans="1:17" ht="18" customHeight="1" x14ac:dyDescent="0.15">
      <c r="A2" s="175" t="str">
        <f>T(项目信息!B22)</f>
        <v>扬州华科</v>
      </c>
      <c r="B2" s="175"/>
      <c r="C2" s="175"/>
      <c r="D2" s="175"/>
      <c r="E2" s="175"/>
      <c r="F2" s="175"/>
      <c r="G2" s="175"/>
      <c r="H2" s="175"/>
      <c r="I2" s="175"/>
    </row>
    <row r="3" spans="1:17" ht="18" customHeight="1" x14ac:dyDescent="0.15">
      <c r="A3" s="176" t="str">
        <f>T(项目信息!B23)</f>
        <v/>
      </c>
      <c r="B3" s="176"/>
      <c r="C3" s="176"/>
      <c r="D3" s="176"/>
      <c r="E3" s="176"/>
      <c r="F3" s="176"/>
      <c r="G3" s="176"/>
      <c r="H3" s="176"/>
      <c r="I3" s="177"/>
    </row>
    <row r="4" spans="1:17" ht="18" customHeight="1" x14ac:dyDescent="0.15">
      <c r="A4" s="178" t="s">
        <v>42</v>
      </c>
      <c r="B4" s="179"/>
      <c r="C4" s="179"/>
      <c r="D4" s="179"/>
      <c r="E4" s="179"/>
      <c r="F4" s="179"/>
      <c r="G4" s="179"/>
      <c r="H4" s="179"/>
      <c r="I4" s="179"/>
    </row>
    <row r="5" spans="1:17" ht="18" customHeight="1" x14ac:dyDescent="0.15">
      <c r="A5" s="180" t="str">
        <f>CONCATENATE("项目名称:",项目信息!B5)</f>
        <v>项目名称:</v>
      </c>
      <c r="B5" s="181"/>
      <c r="C5" s="181"/>
      <c r="D5" s="181"/>
      <c r="E5" s="181"/>
      <c r="F5" s="181"/>
      <c r="G5" s="182"/>
      <c r="H5" s="183" t="str">
        <f>CONCATENATE("报价序号:",项目信息!B7)</f>
        <v>报价序号:</v>
      </c>
      <c r="I5" s="184"/>
      <c r="J5" s="4"/>
      <c r="K5" s="4"/>
      <c r="L5" s="4"/>
      <c r="M5" s="4"/>
      <c r="N5" s="4"/>
      <c r="O5" s="4"/>
      <c r="P5" s="4"/>
      <c r="Q5" s="4"/>
    </row>
    <row r="6" spans="1:17" ht="18" customHeight="1" x14ac:dyDescent="0.15">
      <c r="A6" s="15" t="s">
        <v>0</v>
      </c>
      <c r="B6" s="59" t="s">
        <v>43</v>
      </c>
      <c r="C6" s="59" t="s">
        <v>44</v>
      </c>
      <c r="D6" s="59" t="s">
        <v>45</v>
      </c>
      <c r="E6" s="60" t="s">
        <v>46</v>
      </c>
      <c r="F6" s="60" t="s">
        <v>47</v>
      </c>
      <c r="G6" s="61" t="s">
        <v>48</v>
      </c>
      <c r="H6" s="17" t="s">
        <v>1</v>
      </c>
      <c r="I6" s="59" t="s">
        <v>49</v>
      </c>
      <c r="J6" s="18" t="s">
        <v>50</v>
      </c>
      <c r="K6" s="19" t="s">
        <v>2</v>
      </c>
      <c r="L6" s="20" t="s">
        <v>3</v>
      </c>
      <c r="M6" s="62" t="s">
        <v>51</v>
      </c>
      <c r="N6" s="62" t="s">
        <v>52</v>
      </c>
      <c r="O6" s="63" t="s">
        <v>53</v>
      </c>
      <c r="P6" s="63" t="s">
        <v>53</v>
      </c>
      <c r="Q6" s="62" t="s">
        <v>54</v>
      </c>
    </row>
    <row r="7" spans="1:17" ht="18" customHeight="1" x14ac:dyDescent="0.15">
      <c r="A7" s="46">
        <f>ROW()-ROW(A$6)</f>
        <v>1</v>
      </c>
      <c r="B7" s="67" t="s">
        <v>99</v>
      </c>
      <c r="C7" s="67"/>
      <c r="D7" s="67"/>
      <c r="E7" s="68" t="s">
        <v>100</v>
      </c>
      <c r="F7" s="68">
        <v>1</v>
      </c>
      <c r="G7" s="110"/>
      <c r="H7" s="110"/>
      <c r="I7" s="69"/>
      <c r="J7" s="116"/>
      <c r="K7" s="118"/>
      <c r="L7" s="70"/>
      <c r="M7" s="71"/>
      <c r="N7" s="72"/>
      <c r="O7" s="73"/>
      <c r="P7" s="74"/>
      <c r="Q7" s="75"/>
    </row>
    <row r="8" spans="1:17" ht="18" customHeight="1" x14ac:dyDescent="0.15">
      <c r="A8" s="46">
        <f t="shared" ref="A8:A35" si="0">ROW()-ROW(A$6)</f>
        <v>2</v>
      </c>
      <c r="B8" s="67"/>
      <c r="C8" s="67"/>
      <c r="D8" s="67"/>
      <c r="E8" s="68"/>
      <c r="F8" s="68"/>
      <c r="G8" s="110"/>
      <c r="H8" s="110"/>
      <c r="I8" s="69"/>
      <c r="J8" s="116"/>
      <c r="K8" s="118"/>
      <c r="L8" s="70"/>
      <c r="M8" s="71"/>
      <c r="N8" s="72"/>
      <c r="O8" s="73"/>
      <c r="P8" s="74"/>
      <c r="Q8" s="75"/>
    </row>
    <row r="9" spans="1:17" ht="18" customHeight="1" x14ac:dyDescent="0.15">
      <c r="A9" s="46">
        <f t="shared" si="0"/>
        <v>3</v>
      </c>
      <c r="B9" s="76"/>
      <c r="C9" s="76"/>
      <c r="D9" s="76"/>
      <c r="E9" s="77"/>
      <c r="F9" s="68"/>
      <c r="G9" s="110"/>
      <c r="H9" s="110"/>
      <c r="I9" s="69"/>
      <c r="J9" s="116"/>
      <c r="K9" s="118"/>
      <c r="L9" s="78"/>
      <c r="M9" s="71"/>
      <c r="N9" s="72"/>
      <c r="O9" s="73"/>
      <c r="P9" s="74"/>
      <c r="Q9" s="75"/>
    </row>
    <row r="10" spans="1:17" ht="18" customHeight="1" x14ac:dyDescent="0.15">
      <c r="A10" s="46">
        <f t="shared" si="0"/>
        <v>4</v>
      </c>
      <c r="B10" s="67"/>
      <c r="C10" s="67"/>
      <c r="D10" s="67"/>
      <c r="E10" s="68"/>
      <c r="F10" s="68"/>
      <c r="G10" s="110"/>
      <c r="H10" s="110"/>
      <c r="I10" s="69"/>
      <c r="J10" s="116"/>
      <c r="K10" s="118"/>
      <c r="L10" s="70"/>
      <c r="M10" s="71"/>
      <c r="N10" s="72"/>
      <c r="O10" s="73"/>
      <c r="P10" s="74"/>
      <c r="Q10" s="75"/>
    </row>
    <row r="11" spans="1:17" ht="18" customHeight="1" x14ac:dyDescent="0.15">
      <c r="A11" s="46">
        <f t="shared" si="0"/>
        <v>5</v>
      </c>
      <c r="B11" s="67"/>
      <c r="C11" s="67"/>
      <c r="D11" s="67"/>
      <c r="E11" s="68"/>
      <c r="F11" s="68"/>
      <c r="G11" s="110"/>
      <c r="H11" s="110"/>
      <c r="I11" s="69"/>
      <c r="J11" s="116"/>
      <c r="K11" s="118"/>
      <c r="L11" s="70"/>
      <c r="M11" s="71"/>
      <c r="N11" s="72"/>
      <c r="O11" s="73"/>
      <c r="P11" s="74"/>
      <c r="Q11" s="75"/>
    </row>
    <row r="12" spans="1:17" ht="18" customHeight="1" x14ac:dyDescent="0.15">
      <c r="A12" s="46">
        <f t="shared" si="0"/>
        <v>6</v>
      </c>
      <c r="B12" s="67"/>
      <c r="C12" s="67"/>
      <c r="D12" s="67"/>
      <c r="E12" s="68"/>
      <c r="F12" s="68"/>
      <c r="G12" s="110"/>
      <c r="H12" s="110"/>
      <c r="I12" s="69"/>
      <c r="J12" s="116"/>
      <c r="K12" s="118"/>
      <c r="L12" s="70"/>
      <c r="M12" s="71"/>
      <c r="N12" s="72"/>
      <c r="O12" s="73"/>
      <c r="P12" s="74"/>
      <c r="Q12" s="75"/>
    </row>
    <row r="13" spans="1:17" ht="18" customHeight="1" x14ac:dyDescent="0.15">
      <c r="A13" s="46">
        <f t="shared" si="0"/>
        <v>7</v>
      </c>
      <c r="B13" s="67"/>
      <c r="C13" s="67"/>
      <c r="D13" s="67"/>
      <c r="E13" s="68"/>
      <c r="F13" s="68"/>
      <c r="G13" s="110"/>
      <c r="H13" s="110"/>
      <c r="I13" s="69"/>
      <c r="J13" s="116"/>
      <c r="K13" s="118"/>
      <c r="L13" s="70"/>
      <c r="M13" s="71"/>
      <c r="N13" s="72"/>
      <c r="O13" s="73"/>
      <c r="P13" s="74"/>
      <c r="Q13" s="75"/>
    </row>
    <row r="14" spans="1:17" ht="18" customHeight="1" x14ac:dyDescent="0.15">
      <c r="A14" s="46">
        <f t="shared" si="0"/>
        <v>8</v>
      </c>
      <c r="B14" s="67"/>
      <c r="C14" s="67"/>
      <c r="D14" s="67"/>
      <c r="E14" s="68"/>
      <c r="F14" s="68"/>
      <c r="G14" s="110"/>
      <c r="H14" s="110"/>
      <c r="I14" s="69"/>
      <c r="J14" s="116"/>
      <c r="K14" s="118"/>
      <c r="L14" s="70"/>
      <c r="M14" s="71"/>
      <c r="N14" s="72"/>
      <c r="O14" s="73"/>
      <c r="P14" s="74"/>
      <c r="Q14" s="75"/>
    </row>
    <row r="15" spans="1:17" ht="18" customHeight="1" x14ac:dyDescent="0.15">
      <c r="A15" s="46">
        <f t="shared" si="0"/>
        <v>9</v>
      </c>
      <c r="B15" s="67"/>
      <c r="C15" s="67"/>
      <c r="D15" s="67"/>
      <c r="E15" s="68"/>
      <c r="F15" s="68"/>
      <c r="G15" s="110"/>
      <c r="H15" s="110"/>
      <c r="I15" s="69"/>
      <c r="J15" s="116"/>
      <c r="K15" s="118"/>
      <c r="L15" s="70"/>
      <c r="M15" s="71"/>
      <c r="N15" s="72"/>
      <c r="O15" s="73"/>
      <c r="P15" s="74"/>
      <c r="Q15" s="75"/>
    </row>
    <row r="16" spans="1:17" ht="18" customHeight="1" x14ac:dyDescent="0.15">
      <c r="A16" s="46">
        <f t="shared" si="0"/>
        <v>10</v>
      </c>
      <c r="B16" s="67"/>
      <c r="C16" s="67"/>
      <c r="D16" s="67"/>
      <c r="E16" s="68"/>
      <c r="F16" s="68"/>
      <c r="G16" s="110"/>
      <c r="H16" s="110"/>
      <c r="I16" s="69"/>
      <c r="J16" s="116"/>
      <c r="K16" s="118"/>
      <c r="L16" s="70"/>
      <c r="M16" s="71"/>
      <c r="N16" s="72"/>
      <c r="O16" s="73"/>
      <c r="P16" s="74"/>
      <c r="Q16" s="75"/>
    </row>
    <row r="17" spans="1:17" ht="18" customHeight="1" x14ac:dyDescent="0.15">
      <c r="A17" s="46">
        <f t="shared" si="0"/>
        <v>11</v>
      </c>
      <c r="B17" s="67"/>
      <c r="C17" s="67"/>
      <c r="D17" s="67"/>
      <c r="E17" s="68"/>
      <c r="F17" s="79"/>
      <c r="G17" s="110"/>
      <c r="H17" s="110"/>
      <c r="I17" s="69"/>
      <c r="J17" s="116"/>
      <c r="K17" s="118"/>
      <c r="L17" s="70"/>
      <c r="M17" s="71"/>
      <c r="N17" s="72"/>
      <c r="O17" s="73"/>
      <c r="P17" s="74"/>
      <c r="Q17" s="75"/>
    </row>
    <row r="18" spans="1:17" ht="18" customHeight="1" x14ac:dyDescent="0.15">
      <c r="A18" s="46">
        <f t="shared" si="0"/>
        <v>12</v>
      </c>
      <c r="B18" s="67"/>
      <c r="C18" s="67"/>
      <c r="D18" s="67"/>
      <c r="E18" s="68"/>
      <c r="F18" s="79"/>
      <c r="G18" s="110"/>
      <c r="H18" s="110"/>
      <c r="I18" s="69"/>
      <c r="J18" s="116"/>
      <c r="K18" s="118"/>
      <c r="L18" s="70"/>
      <c r="M18" s="71"/>
      <c r="N18" s="72"/>
      <c r="O18" s="73"/>
      <c r="P18" s="74"/>
      <c r="Q18" s="75"/>
    </row>
    <row r="19" spans="1:17" ht="18" customHeight="1" x14ac:dyDescent="0.15">
      <c r="A19" s="46">
        <f t="shared" si="0"/>
        <v>13</v>
      </c>
      <c r="B19" s="67"/>
      <c r="C19" s="67"/>
      <c r="D19" s="67"/>
      <c r="E19" s="68"/>
      <c r="F19" s="79"/>
      <c r="G19" s="110"/>
      <c r="H19" s="110"/>
      <c r="I19" s="69"/>
      <c r="J19" s="116"/>
      <c r="K19" s="118"/>
      <c r="L19" s="70"/>
      <c r="M19" s="71"/>
      <c r="N19" s="72"/>
      <c r="O19" s="73"/>
      <c r="P19" s="74"/>
      <c r="Q19" s="75"/>
    </row>
    <row r="20" spans="1:17" ht="18" customHeight="1" x14ac:dyDescent="0.15">
      <c r="A20" s="46">
        <f t="shared" si="0"/>
        <v>14</v>
      </c>
      <c r="B20" s="67"/>
      <c r="C20" s="67"/>
      <c r="D20" s="67"/>
      <c r="E20" s="68"/>
      <c r="F20" s="79"/>
      <c r="G20" s="110"/>
      <c r="H20" s="110"/>
      <c r="I20" s="69"/>
      <c r="J20" s="116"/>
      <c r="K20" s="118"/>
      <c r="L20" s="70"/>
      <c r="M20" s="71"/>
      <c r="N20" s="72"/>
      <c r="O20" s="73"/>
      <c r="P20" s="74"/>
      <c r="Q20" s="75"/>
    </row>
    <row r="21" spans="1:17" ht="18" customHeight="1" x14ac:dyDescent="0.15">
      <c r="A21" s="46">
        <f t="shared" si="0"/>
        <v>15</v>
      </c>
      <c r="B21" s="67"/>
      <c r="C21" s="67"/>
      <c r="D21" s="67"/>
      <c r="E21" s="68"/>
      <c r="F21" s="79"/>
      <c r="G21" s="110"/>
      <c r="H21" s="110"/>
      <c r="I21" s="69"/>
      <c r="J21" s="116"/>
      <c r="K21" s="118"/>
      <c r="L21" s="70"/>
      <c r="M21" s="71"/>
      <c r="N21" s="72"/>
      <c r="O21" s="73"/>
      <c r="P21" s="74"/>
      <c r="Q21" s="75"/>
    </row>
    <row r="22" spans="1:17" ht="18" customHeight="1" x14ac:dyDescent="0.15">
      <c r="A22" s="46">
        <f t="shared" si="0"/>
        <v>16</v>
      </c>
      <c r="B22" s="67"/>
      <c r="C22" s="67"/>
      <c r="D22" s="67"/>
      <c r="E22" s="68"/>
      <c r="F22" s="68"/>
      <c r="G22" s="110"/>
      <c r="H22" s="110"/>
      <c r="I22" s="69"/>
      <c r="J22" s="116"/>
      <c r="K22" s="118"/>
      <c r="L22" s="70"/>
      <c r="M22" s="71"/>
      <c r="N22" s="72"/>
      <c r="O22" s="73"/>
      <c r="P22" s="74"/>
      <c r="Q22" s="75"/>
    </row>
    <row r="23" spans="1:17" ht="18" customHeight="1" x14ac:dyDescent="0.15">
      <c r="A23" s="46">
        <f t="shared" si="0"/>
        <v>17</v>
      </c>
      <c r="B23" s="67"/>
      <c r="C23" s="67"/>
      <c r="D23" s="67"/>
      <c r="E23" s="68"/>
      <c r="F23" s="68"/>
      <c r="G23" s="110"/>
      <c r="H23" s="110"/>
      <c r="I23" s="69"/>
      <c r="J23" s="116"/>
      <c r="K23" s="118"/>
      <c r="L23" s="70"/>
      <c r="M23" s="71"/>
      <c r="N23" s="72"/>
      <c r="O23" s="73"/>
      <c r="P23" s="74"/>
      <c r="Q23" s="75"/>
    </row>
    <row r="24" spans="1:17" ht="18" customHeight="1" x14ac:dyDescent="0.15">
      <c r="A24" s="46">
        <f t="shared" si="0"/>
        <v>18</v>
      </c>
      <c r="B24" s="76"/>
      <c r="C24" s="76"/>
      <c r="D24" s="67"/>
      <c r="E24" s="77"/>
      <c r="F24" s="77"/>
      <c r="G24" s="111"/>
      <c r="H24" s="111"/>
      <c r="I24" s="69"/>
      <c r="J24" s="116"/>
      <c r="K24" s="118"/>
      <c r="L24" s="70"/>
      <c r="M24" s="71"/>
      <c r="N24" s="72"/>
      <c r="O24" s="73"/>
      <c r="P24" s="74"/>
      <c r="Q24" s="75"/>
    </row>
    <row r="25" spans="1:17" ht="18" customHeight="1" x14ac:dyDescent="0.15">
      <c r="A25" s="46">
        <f t="shared" si="0"/>
        <v>19</v>
      </c>
      <c r="B25" s="67"/>
      <c r="C25" s="67"/>
      <c r="D25" s="67"/>
      <c r="E25" s="77"/>
      <c r="F25" s="80"/>
      <c r="G25" s="111"/>
      <c r="H25" s="111"/>
      <c r="I25" s="69"/>
      <c r="J25" s="116"/>
      <c r="K25" s="118"/>
      <c r="L25" s="70"/>
      <c r="M25" s="71"/>
      <c r="N25" s="72"/>
      <c r="O25" s="73"/>
      <c r="P25" s="74"/>
      <c r="Q25" s="75"/>
    </row>
    <row r="26" spans="1:17" ht="18" customHeight="1" x14ac:dyDescent="0.15">
      <c r="A26" s="46">
        <f t="shared" si="0"/>
        <v>20</v>
      </c>
      <c r="B26" s="67"/>
      <c r="C26" s="67"/>
      <c r="D26" s="67"/>
      <c r="E26" s="77"/>
      <c r="F26" s="80"/>
      <c r="G26" s="111"/>
      <c r="H26" s="111"/>
      <c r="I26" s="69"/>
      <c r="J26" s="116"/>
      <c r="K26" s="118"/>
      <c r="L26" s="70"/>
      <c r="M26" s="71"/>
      <c r="N26" s="72"/>
      <c r="O26" s="73"/>
      <c r="P26" s="74"/>
      <c r="Q26" s="75"/>
    </row>
    <row r="27" spans="1:17" ht="18" customHeight="1" x14ac:dyDescent="0.15">
      <c r="A27" s="46">
        <f t="shared" si="0"/>
        <v>21</v>
      </c>
      <c r="B27" s="67"/>
      <c r="C27" s="67"/>
      <c r="D27" s="67"/>
      <c r="E27" s="68"/>
      <c r="F27" s="68"/>
      <c r="G27" s="110"/>
      <c r="H27" s="110"/>
      <c r="I27" s="69"/>
      <c r="J27" s="116"/>
      <c r="K27" s="118"/>
      <c r="L27" s="70"/>
      <c r="M27" s="71"/>
      <c r="N27" s="72"/>
      <c r="O27" s="73"/>
      <c r="P27" s="74"/>
      <c r="Q27" s="75"/>
    </row>
    <row r="28" spans="1:17" ht="18" customHeight="1" x14ac:dyDescent="0.15">
      <c r="A28" s="46">
        <f t="shared" si="0"/>
        <v>22</v>
      </c>
      <c r="B28" s="67"/>
      <c r="C28" s="67"/>
      <c r="D28" s="67"/>
      <c r="E28" s="68"/>
      <c r="F28" s="68"/>
      <c r="G28" s="110"/>
      <c r="H28" s="110"/>
      <c r="I28" s="69"/>
      <c r="J28" s="116"/>
      <c r="K28" s="118"/>
      <c r="L28" s="70"/>
      <c r="M28" s="71"/>
      <c r="N28" s="72"/>
      <c r="O28" s="73"/>
      <c r="P28" s="74"/>
      <c r="Q28" s="75"/>
    </row>
    <row r="29" spans="1:17" ht="18" customHeight="1" x14ac:dyDescent="0.15">
      <c r="A29" s="46">
        <f t="shared" si="0"/>
        <v>23</v>
      </c>
      <c r="B29" s="67"/>
      <c r="C29" s="67"/>
      <c r="D29" s="67"/>
      <c r="E29" s="68"/>
      <c r="F29" s="68"/>
      <c r="G29" s="110"/>
      <c r="H29" s="110"/>
      <c r="I29" s="69"/>
      <c r="J29" s="116"/>
      <c r="K29" s="118"/>
      <c r="L29" s="70"/>
      <c r="M29" s="71"/>
      <c r="N29" s="72"/>
      <c r="O29" s="73"/>
      <c r="P29" s="74"/>
      <c r="Q29" s="75"/>
    </row>
    <row r="30" spans="1:17" ht="18" customHeight="1" x14ac:dyDescent="0.15">
      <c r="A30" s="46">
        <f t="shared" si="0"/>
        <v>24</v>
      </c>
      <c r="B30" s="67"/>
      <c r="C30" s="67"/>
      <c r="D30" s="67"/>
      <c r="E30" s="68"/>
      <c r="F30" s="68"/>
      <c r="G30" s="110"/>
      <c r="H30" s="110"/>
      <c r="I30" s="69"/>
      <c r="J30" s="116"/>
      <c r="K30" s="118"/>
      <c r="L30" s="70"/>
      <c r="M30" s="71"/>
      <c r="N30" s="72"/>
      <c r="O30" s="73"/>
      <c r="P30" s="74"/>
      <c r="Q30" s="75"/>
    </row>
    <row r="31" spans="1:17" ht="18" customHeight="1" x14ac:dyDescent="0.15">
      <c r="A31" s="46">
        <f t="shared" si="0"/>
        <v>25</v>
      </c>
      <c r="B31" s="81" t="s">
        <v>4</v>
      </c>
      <c r="C31" s="81"/>
      <c r="D31" s="82"/>
      <c r="E31" s="83" t="s">
        <v>55</v>
      </c>
      <c r="F31" s="83">
        <f>SUM(F6:INDEX(F:F,ROW()-1))</f>
        <v>1</v>
      </c>
      <c r="G31" s="112"/>
      <c r="H31" s="113">
        <f>ROUND(SUM(H6:INDEX(H:H,ROW()-1)),2)</f>
        <v>0</v>
      </c>
      <c r="I31" s="84"/>
      <c r="J31" s="116">
        <f>ROUND(SUM(J6:INDEX(J:J,ROW()-1)),2)</f>
        <v>0</v>
      </c>
      <c r="K31" s="118">
        <f>ROUND(SUM(K6:INDEX(K:K,ROW()-1)),2)</f>
        <v>0</v>
      </c>
      <c r="L31" s="70"/>
      <c r="M31" s="71"/>
      <c r="N31" s="72"/>
      <c r="O31" s="73"/>
      <c r="P31" s="74"/>
      <c r="Q31" s="75"/>
    </row>
    <row r="32" spans="1:17" ht="18" customHeight="1" x14ac:dyDescent="0.15">
      <c r="A32" s="46">
        <f t="shared" si="0"/>
        <v>26</v>
      </c>
      <c r="B32" s="85" t="s">
        <v>56</v>
      </c>
      <c r="C32" s="85"/>
      <c r="D32" s="86"/>
      <c r="E32" s="83" t="s">
        <v>55</v>
      </c>
      <c r="F32" s="83">
        <v>1</v>
      </c>
      <c r="G32" s="113">
        <v>0</v>
      </c>
      <c r="H32" s="113">
        <f>ROUND(F32*G32,2)</f>
        <v>0</v>
      </c>
      <c r="I32" s="87"/>
      <c r="J32" s="116">
        <f>ROUND(H32,2)</f>
        <v>0</v>
      </c>
      <c r="K32" s="118"/>
      <c r="L32" s="70"/>
      <c r="M32" s="88"/>
      <c r="N32" s="89"/>
      <c r="O32" s="73"/>
      <c r="P32" s="74"/>
      <c r="Q32" s="90"/>
    </row>
    <row r="33" spans="1:24" ht="18" customHeight="1" x14ac:dyDescent="0.15">
      <c r="A33" s="46">
        <f t="shared" si="0"/>
        <v>27</v>
      </c>
      <c r="B33" s="85" t="s">
        <v>57</v>
      </c>
      <c r="C33" s="85"/>
      <c r="D33" s="86"/>
      <c r="E33" s="83" t="s">
        <v>58</v>
      </c>
      <c r="F33" s="83">
        <v>1</v>
      </c>
      <c r="G33" s="113">
        <v>0</v>
      </c>
      <c r="H33" s="113">
        <f>ROUND(F33*G33,2)</f>
        <v>0</v>
      </c>
      <c r="I33" s="87"/>
      <c r="J33" s="116">
        <f>ROUND(H33,2)</f>
        <v>0</v>
      </c>
      <c r="K33" s="118"/>
      <c r="L33" s="70"/>
      <c r="M33" s="88"/>
      <c r="N33" s="89"/>
      <c r="O33" s="73"/>
      <c r="P33" s="74"/>
      <c r="Q33" s="90"/>
    </row>
    <row r="34" spans="1:24" ht="18" customHeight="1" x14ac:dyDescent="0.15">
      <c r="A34" s="46">
        <f t="shared" si="0"/>
        <v>28</v>
      </c>
      <c r="B34" s="85" t="s">
        <v>59</v>
      </c>
      <c r="C34" s="85"/>
      <c r="D34" s="86"/>
      <c r="E34" s="83" t="s">
        <v>55</v>
      </c>
      <c r="F34" s="83">
        <v>1</v>
      </c>
      <c r="G34" s="113">
        <v>0</v>
      </c>
      <c r="H34" s="113">
        <f>ROUND(F34*G34,2)</f>
        <v>0</v>
      </c>
      <c r="I34" s="91"/>
      <c r="J34" s="116">
        <f>ROUND(H34,2)</f>
        <v>0</v>
      </c>
      <c r="K34" s="118"/>
      <c r="L34" s="70"/>
      <c r="M34" s="88"/>
      <c r="N34" s="89"/>
      <c r="O34" s="73"/>
      <c r="P34" s="74"/>
      <c r="Q34" s="90"/>
    </row>
    <row r="35" spans="1:24" ht="18" customHeight="1" x14ac:dyDescent="0.15">
      <c r="A35" s="46">
        <f t="shared" si="0"/>
        <v>29</v>
      </c>
      <c r="B35" s="92" t="s">
        <v>60</v>
      </c>
      <c r="C35" s="185" t="str">
        <f ca="1">TEXT(SUBSTITUTE(IF(H35="","",IF(MOD(H35,1)=0,TEXT(INT(H35),"[DBNum2][$-804]G/通用格式元整"),(TEXT(INT(H35),"[DBNum2][$-804]G/通用格式元")&amp;TEXT((INT(H35*10)-INT(H35)*10),"[DBNum2][$-804]G/通用格式角")&amp;TEXT((INT(H35*100)-INT(H35*10)*10),"[DBNum2][$-804]G/通用格式分")))),"零角","零"),)</f>
        <v>零元整</v>
      </c>
      <c r="D35" s="186"/>
      <c r="E35" s="93"/>
      <c r="F35" s="94" t="str">
        <f ca="1">IF(项目信息!H29="箱变",1,"")</f>
        <v/>
      </c>
      <c r="G35" s="114">
        <f>ROUND(SUM(H31:H34),2)</f>
        <v>0</v>
      </c>
      <c r="H35" s="114">
        <f ca="1">ROUND(IF(F35="",1,F35)*G35,2)</f>
        <v>0</v>
      </c>
      <c r="I35" s="95"/>
      <c r="J35" s="117">
        <f ca="1">ROUND(IF(F35="",1,F35)*SUM(J31:J34),2)</f>
        <v>0</v>
      </c>
      <c r="K35" s="119">
        <f ca="1">ROUND(IF(F35="",1,F35)*SUM(K31:K34),2)</f>
        <v>0</v>
      </c>
      <c r="L35" s="96">
        <f ca="1">IF(H35=0,0,K35/H35)</f>
        <v>0</v>
      </c>
      <c r="M35" s="97"/>
      <c r="N35" s="98"/>
      <c r="O35" s="99"/>
      <c r="P35" s="100"/>
      <c r="Q35" s="101"/>
    </row>
    <row r="36" spans="1:24" ht="18" customHeight="1" x14ac:dyDescent="0.15">
      <c r="A36" s="187" t="s">
        <v>61</v>
      </c>
      <c r="B36" s="189"/>
      <c r="C36" s="190"/>
      <c r="D36" s="190"/>
      <c r="E36" s="190"/>
      <c r="F36" s="190"/>
      <c r="G36" s="191"/>
      <c r="H36" s="191"/>
      <c r="I36" s="192"/>
      <c r="J36" s="115"/>
      <c r="K36" s="115"/>
      <c r="L36" s="4"/>
      <c r="M36" s="4"/>
      <c r="N36" s="4"/>
      <c r="O36" s="4"/>
      <c r="P36" s="4"/>
      <c r="Q36" s="4"/>
    </row>
    <row r="37" spans="1:24" ht="18" customHeight="1" x14ac:dyDescent="0.15">
      <c r="A37" s="188"/>
      <c r="B37" s="193"/>
      <c r="C37" s="193"/>
      <c r="D37" s="193"/>
      <c r="E37" s="193"/>
      <c r="F37" s="193"/>
      <c r="G37" s="194"/>
      <c r="H37" s="194"/>
      <c r="I37" s="195"/>
      <c r="J37" s="115"/>
      <c r="K37" s="115"/>
      <c r="L37" s="4"/>
      <c r="M37" s="4"/>
      <c r="N37" s="4"/>
      <c r="O37" s="4"/>
      <c r="P37" s="4"/>
      <c r="Q37" s="4"/>
    </row>
    <row r="38" spans="1:24" ht="18" customHeight="1" x14ac:dyDescent="0.15">
      <c r="A38" s="103"/>
      <c r="B38" s="4"/>
      <c r="C38" s="4"/>
      <c r="D38" s="4"/>
      <c r="E38" s="4"/>
      <c r="F38" s="4"/>
      <c r="G38" s="115"/>
      <c r="H38" s="115"/>
      <c r="I38" s="104"/>
      <c r="J38" s="115"/>
      <c r="K38" s="115"/>
      <c r="L38" s="4"/>
      <c r="M38" s="4"/>
      <c r="N38" s="4"/>
      <c r="O38" s="4"/>
      <c r="P38" s="4"/>
      <c r="Q38" s="4"/>
    </row>
    <row r="39" spans="1:24" ht="18" customHeight="1" x14ac:dyDescent="0.15">
      <c r="A39" s="103"/>
      <c r="B39" s="4"/>
      <c r="C39" s="4"/>
      <c r="D39" s="4"/>
      <c r="E39" s="4"/>
      <c r="F39" s="4"/>
      <c r="G39" s="115"/>
      <c r="H39" s="115"/>
      <c r="I39" s="4"/>
      <c r="J39" s="115"/>
      <c r="K39" s="115"/>
      <c r="L39" s="4"/>
      <c r="M39" s="4"/>
      <c r="N39" s="4"/>
      <c r="O39" s="4"/>
      <c r="P39" s="4"/>
      <c r="Q39" s="4"/>
    </row>
    <row r="40" spans="1:24" ht="18" customHeight="1" x14ac:dyDescent="0.15">
      <c r="A40" s="105" t="str">
        <f>CONCATENATE("报价人：",项目信息!B8)</f>
        <v>报价人：李四</v>
      </c>
      <c r="B40" s="54"/>
      <c r="C40" s="54"/>
      <c r="D40" s="106"/>
      <c r="E40" s="106"/>
      <c r="F40" s="106"/>
      <c r="G40" s="104"/>
      <c r="H40" s="107">
        <f>项目信息!B9</f>
        <v>0</v>
      </c>
      <c r="I40" s="4"/>
      <c r="J40" s="4"/>
      <c r="K40" s="4"/>
      <c r="L40" s="4"/>
      <c r="M40" s="4"/>
      <c r="N40" s="4"/>
      <c r="O40" s="4"/>
      <c r="P40" s="4"/>
      <c r="Q40" s="4"/>
    </row>
    <row r="41" spans="1:24" ht="18" customHeight="1" x14ac:dyDescent="0.15">
      <c r="A41" s="175" t="str">
        <f>T(项目信息!$B$22)</f>
        <v>扬州华科</v>
      </c>
      <c r="B41" s="175"/>
      <c r="C41" s="175"/>
      <c r="D41" s="175"/>
      <c r="E41" s="175"/>
      <c r="F41" s="175"/>
      <c r="G41" s="175"/>
      <c r="H41" s="175"/>
      <c r="I41" s="175"/>
      <c r="Q41" s="1"/>
      <c r="R41" s="1"/>
      <c r="S41" s="1"/>
      <c r="T41" s="1"/>
      <c r="U41" s="1"/>
    </row>
    <row r="42" spans="1:24" ht="18" customHeight="1" x14ac:dyDescent="0.15">
      <c r="A42" s="176" t="str">
        <f>T(项目信息!$B$23)</f>
        <v/>
      </c>
      <c r="B42" s="176"/>
      <c r="C42" s="176"/>
      <c r="D42" s="176"/>
      <c r="E42" s="176"/>
      <c r="F42" s="176"/>
      <c r="G42" s="176"/>
      <c r="H42" s="176"/>
      <c r="I42" s="176"/>
      <c r="Q42" s="1"/>
      <c r="R42" s="1"/>
      <c r="S42" s="1"/>
      <c r="T42" s="1"/>
      <c r="U42" s="1"/>
    </row>
    <row r="43" spans="1:24" ht="18" customHeight="1" x14ac:dyDescent="0.15">
      <c r="A43" s="196" t="s">
        <v>64</v>
      </c>
      <c r="B43" s="196"/>
      <c r="C43" s="196"/>
      <c r="D43" s="196"/>
      <c r="E43" s="196"/>
      <c r="F43" s="196"/>
      <c r="G43" s="196"/>
      <c r="H43" s="196"/>
      <c r="I43" s="196"/>
      <c r="Q43" s="1"/>
      <c r="R43" s="1"/>
      <c r="S43" s="1"/>
      <c r="T43" s="1"/>
      <c r="U43" s="1"/>
    </row>
    <row r="44" spans="1:24" s="128" customFormat="1" ht="18" customHeight="1" x14ac:dyDescent="0.15">
      <c r="A44" s="120" t="s">
        <v>95</v>
      </c>
      <c r="B44" s="121" t="s">
        <v>99</v>
      </c>
      <c r="C44" s="122" t="s">
        <v>65</v>
      </c>
      <c r="D44" s="174" t="s">
        <v>8</v>
      </c>
      <c r="E44" s="174"/>
      <c r="F44" s="123" t="s">
        <v>66</v>
      </c>
      <c r="G44" s="174" t="s">
        <v>8</v>
      </c>
      <c r="H44" s="174"/>
      <c r="I44" s="124" t="s">
        <v>8</v>
      </c>
      <c r="J44" s="125" t="s">
        <v>67</v>
      </c>
      <c r="K44" s="126" t="s">
        <v>8</v>
      </c>
      <c r="L44" s="125" t="s">
        <v>68</v>
      </c>
      <c r="M44" s="126" t="s">
        <v>8</v>
      </c>
      <c r="N44" s="127" t="s">
        <v>8</v>
      </c>
      <c r="Q44" s="5"/>
      <c r="R44" s="5"/>
      <c r="S44" s="5"/>
      <c r="T44" s="5"/>
      <c r="U44" s="5"/>
    </row>
    <row r="45" spans="1:24" s="4" customFormat="1" ht="20.100000000000001" customHeight="1" x14ac:dyDescent="0.15">
      <c r="A45" s="15" t="s">
        <v>29</v>
      </c>
      <c r="B45" s="16" t="s">
        <v>69</v>
      </c>
      <c r="C45" s="16" t="s">
        <v>70</v>
      </c>
      <c r="D45" s="129" t="s">
        <v>62</v>
      </c>
      <c r="E45" s="60" t="s">
        <v>71</v>
      </c>
      <c r="F45" s="60" t="s">
        <v>72</v>
      </c>
      <c r="G45" s="61" t="s">
        <v>73</v>
      </c>
      <c r="H45" s="17" t="s">
        <v>32</v>
      </c>
      <c r="I45" s="130" t="s">
        <v>74</v>
      </c>
      <c r="J45" s="131" t="s">
        <v>75</v>
      </c>
      <c r="K45" s="131" t="s">
        <v>76</v>
      </c>
      <c r="L45" s="132" t="s">
        <v>77</v>
      </c>
      <c r="M45" s="131" t="s">
        <v>78</v>
      </c>
      <c r="N45" s="132" t="s">
        <v>79</v>
      </c>
      <c r="O45" s="133" t="s">
        <v>80</v>
      </c>
      <c r="P45" s="131" t="s">
        <v>81</v>
      </c>
      <c r="Q45" s="134" t="s">
        <v>82</v>
      </c>
      <c r="R45" s="134" t="s">
        <v>83</v>
      </c>
      <c r="S45" s="134" t="s">
        <v>84</v>
      </c>
      <c r="T45" s="134" t="s">
        <v>85</v>
      </c>
      <c r="U45" s="134" t="s">
        <v>86</v>
      </c>
      <c r="V45" s="134" t="s">
        <v>87</v>
      </c>
      <c r="W45" s="134" t="s">
        <v>88</v>
      </c>
      <c r="X45" s="135" t="s">
        <v>8</v>
      </c>
    </row>
    <row r="46" spans="1:24" s="4" customFormat="1" ht="18" customHeight="1" x14ac:dyDescent="0.15">
      <c r="A46" s="64">
        <f t="shared" ref="A46:A70" si="1">ROW()-ROW(A$45)</f>
        <v>1</v>
      </c>
      <c r="B46" s="65" t="s">
        <v>8</v>
      </c>
      <c r="C46" s="65" t="s">
        <v>8</v>
      </c>
      <c r="D46" s="65" t="s">
        <v>8</v>
      </c>
      <c r="E46" s="66"/>
      <c r="F46" s="66" t="str">
        <f t="shared" ref="F46:F65" si="2">IF(AND(B46="",C46=""),"",1)</f>
        <v/>
      </c>
      <c r="G46" s="109" t="str">
        <f t="shared" ref="G46:G65" si="3">IF(AND(B46="",C46=""),"",ROUND(M46*L46*N46,2))</f>
        <v/>
      </c>
      <c r="H46" s="109" t="str">
        <f t="shared" ref="H46:H65" si="4">IF(AND(B46="",C46=""),"",ROUND(F46*G46,2))</f>
        <v/>
      </c>
      <c r="I46" s="136" t="s">
        <v>8</v>
      </c>
      <c r="J46" s="161" t="str">
        <f t="shared" ref="J46:J65" si="5">IF(AND(B46="",C46=""),"",ROUND(M46*N46,2))</f>
        <v/>
      </c>
      <c r="K46" s="164" t="str">
        <f t="shared" ref="K46:K65" si="6">IF(AND(B46="",C46=""),"",ROUND(J46*F46,2))</f>
        <v/>
      </c>
      <c r="L46" s="137" t="str">
        <f t="shared" ref="L46:L65" si="7">IF(AND(B46="",C46=""),"",1)</f>
        <v/>
      </c>
      <c r="M46" s="167"/>
      <c r="N46" s="138" t="str">
        <f t="shared" ref="N46:N65" si="8">IF(AND(B46="",C46=""),"",1)</f>
        <v/>
      </c>
      <c r="O46" s="139" t="str">
        <f>IF(AND(B46="",C46=""),"",IF(G46&gt;=20000,0.05,IF(G46&gt;=10000,0.1,IF(G46&gt;=5000,0.2,IF(G46&gt;=1000,0.3,IF(G46&gt;=0,0.4,{0}))))))</f>
        <v/>
      </c>
      <c r="P46" s="170" t="str">
        <f t="shared" ref="P46:P65" si="9">IF(AND(B46="",C46=""),"",ROUND(H46*O46,2))</f>
        <v/>
      </c>
      <c r="Q46" s="140" t="str">
        <f t="shared" ref="Q46:Q65" si="10">IF(AND(B46="",C46=""),"","元件")</f>
        <v/>
      </c>
      <c r="R46" s="141" t="s">
        <v>8</v>
      </c>
      <c r="S46" s="141" t="s">
        <v>8</v>
      </c>
      <c r="T46" s="141" t="s">
        <v>8</v>
      </c>
      <c r="U46" s="141" t="s">
        <v>8</v>
      </c>
      <c r="V46" s="142"/>
      <c r="W46" s="142"/>
      <c r="X46" s="143" t="s">
        <v>8</v>
      </c>
    </row>
    <row r="47" spans="1:24" s="4" customFormat="1" ht="18" customHeight="1" x14ac:dyDescent="0.15">
      <c r="A47" s="46">
        <f t="shared" si="1"/>
        <v>2</v>
      </c>
      <c r="B47" s="76" t="s">
        <v>8</v>
      </c>
      <c r="C47" s="67" t="s">
        <v>8</v>
      </c>
      <c r="D47" s="76" t="s">
        <v>8</v>
      </c>
      <c r="E47" s="77"/>
      <c r="F47" s="68" t="str">
        <f t="shared" si="2"/>
        <v/>
      </c>
      <c r="G47" s="111" t="str">
        <f t="shared" si="3"/>
        <v/>
      </c>
      <c r="H47" s="110" t="str">
        <f t="shared" si="4"/>
        <v/>
      </c>
      <c r="I47" s="69" t="s">
        <v>8</v>
      </c>
      <c r="J47" s="162" t="str">
        <f t="shared" si="5"/>
        <v/>
      </c>
      <c r="K47" s="165" t="str">
        <f t="shared" si="6"/>
        <v/>
      </c>
      <c r="L47" s="137" t="str">
        <f t="shared" si="7"/>
        <v/>
      </c>
      <c r="M47" s="168"/>
      <c r="N47" s="138" t="str">
        <f t="shared" si="8"/>
        <v/>
      </c>
      <c r="O47" s="139" t="str">
        <f>IF(AND(B47="",C47=""),"",IF(G47&gt;=20000,0.05,IF(G47&gt;=10000,0.1,IF(G47&gt;=5000,0.2,IF(G47&gt;=1000,0.3,IF(G47&gt;=0,0.4,{0}))))))</f>
        <v/>
      </c>
      <c r="P47" s="171" t="str">
        <f t="shared" si="9"/>
        <v/>
      </c>
      <c r="Q47" s="140" t="str">
        <f t="shared" si="10"/>
        <v/>
      </c>
      <c r="R47" s="141" t="s">
        <v>8</v>
      </c>
      <c r="S47" s="141" t="s">
        <v>8</v>
      </c>
      <c r="T47" s="141" t="s">
        <v>8</v>
      </c>
      <c r="U47" s="141" t="s">
        <v>8</v>
      </c>
      <c r="V47" s="142"/>
      <c r="W47" s="142"/>
      <c r="X47" s="143" t="s">
        <v>8</v>
      </c>
    </row>
    <row r="48" spans="1:24" s="4" customFormat="1" ht="18" customHeight="1" x14ac:dyDescent="0.15">
      <c r="A48" s="46">
        <f t="shared" si="1"/>
        <v>3</v>
      </c>
      <c r="B48" s="76" t="s">
        <v>8</v>
      </c>
      <c r="C48" s="67" t="s">
        <v>8</v>
      </c>
      <c r="D48" s="76" t="s">
        <v>8</v>
      </c>
      <c r="E48" s="77"/>
      <c r="F48" s="68" t="str">
        <f t="shared" si="2"/>
        <v/>
      </c>
      <c r="G48" s="110" t="str">
        <f t="shared" si="3"/>
        <v/>
      </c>
      <c r="H48" s="110" t="str">
        <f t="shared" si="4"/>
        <v/>
      </c>
      <c r="I48" s="69" t="s">
        <v>8</v>
      </c>
      <c r="J48" s="162" t="str">
        <f t="shared" si="5"/>
        <v/>
      </c>
      <c r="K48" s="165" t="str">
        <f t="shared" si="6"/>
        <v/>
      </c>
      <c r="L48" s="137" t="str">
        <f t="shared" si="7"/>
        <v/>
      </c>
      <c r="M48" s="168"/>
      <c r="N48" s="138" t="str">
        <f t="shared" si="8"/>
        <v/>
      </c>
      <c r="O48" s="139" t="str">
        <f>IF(AND(B48="",C48=""),"",IF(G48&gt;=20000,0.05,IF(G48&gt;=10000,0.1,IF(G48&gt;=5000,0.2,IF(G48&gt;=1000,0.3,IF(G48&gt;=0,0.4,{0}))))))</f>
        <v/>
      </c>
      <c r="P48" s="171" t="str">
        <f t="shared" si="9"/>
        <v/>
      </c>
      <c r="Q48" s="140" t="str">
        <f t="shared" si="10"/>
        <v/>
      </c>
      <c r="R48" s="141" t="s">
        <v>8</v>
      </c>
      <c r="S48" s="141" t="s">
        <v>8</v>
      </c>
      <c r="T48" s="141" t="s">
        <v>8</v>
      </c>
      <c r="U48" s="141" t="s">
        <v>8</v>
      </c>
      <c r="V48" s="142"/>
      <c r="W48" s="142"/>
      <c r="X48" s="143" t="s">
        <v>8</v>
      </c>
    </row>
    <row r="49" spans="1:24" s="4" customFormat="1" ht="18" customHeight="1" x14ac:dyDescent="0.15">
      <c r="A49" s="46">
        <f t="shared" si="1"/>
        <v>4</v>
      </c>
      <c r="B49" s="67" t="s">
        <v>8</v>
      </c>
      <c r="C49" s="67" t="s">
        <v>8</v>
      </c>
      <c r="D49" s="67" t="s">
        <v>8</v>
      </c>
      <c r="E49" s="68"/>
      <c r="F49" s="68" t="str">
        <f t="shared" si="2"/>
        <v/>
      </c>
      <c r="G49" s="110" t="str">
        <f t="shared" si="3"/>
        <v/>
      </c>
      <c r="H49" s="110" t="str">
        <f t="shared" si="4"/>
        <v/>
      </c>
      <c r="I49" s="69" t="s">
        <v>8</v>
      </c>
      <c r="J49" s="162" t="str">
        <f t="shared" si="5"/>
        <v/>
      </c>
      <c r="K49" s="165" t="str">
        <f t="shared" si="6"/>
        <v/>
      </c>
      <c r="L49" s="137" t="str">
        <f t="shared" si="7"/>
        <v/>
      </c>
      <c r="M49" s="168"/>
      <c r="N49" s="138" t="str">
        <f t="shared" si="8"/>
        <v/>
      </c>
      <c r="O49" s="139" t="str">
        <f>IF(AND(B49="",C49=""),"",IF(G49&gt;=20000,0.05,IF(G49&gt;=10000,0.1,IF(G49&gt;=5000,0.2,IF(G49&gt;=1000,0.3,IF(G49&gt;=0,0.4,{0}))))))</f>
        <v/>
      </c>
      <c r="P49" s="171" t="str">
        <f t="shared" si="9"/>
        <v/>
      </c>
      <c r="Q49" s="140" t="str">
        <f t="shared" si="10"/>
        <v/>
      </c>
      <c r="R49" s="141" t="s">
        <v>8</v>
      </c>
      <c r="S49" s="141" t="s">
        <v>8</v>
      </c>
      <c r="T49" s="141" t="s">
        <v>8</v>
      </c>
      <c r="U49" s="141" t="s">
        <v>8</v>
      </c>
      <c r="V49" s="142"/>
      <c r="W49" s="142"/>
      <c r="X49" s="143" t="s">
        <v>8</v>
      </c>
    </row>
    <row r="50" spans="1:24" s="4" customFormat="1" ht="18" customHeight="1" x14ac:dyDescent="0.15">
      <c r="A50" s="46">
        <f t="shared" si="1"/>
        <v>5</v>
      </c>
      <c r="B50" s="76" t="s">
        <v>8</v>
      </c>
      <c r="C50" s="76" t="s">
        <v>8</v>
      </c>
      <c r="D50" s="76" t="s">
        <v>8</v>
      </c>
      <c r="E50" s="77"/>
      <c r="F50" s="77" t="str">
        <f t="shared" si="2"/>
        <v/>
      </c>
      <c r="G50" s="111" t="str">
        <f t="shared" si="3"/>
        <v/>
      </c>
      <c r="H50" s="110" t="str">
        <f t="shared" si="4"/>
        <v/>
      </c>
      <c r="I50" s="69" t="s">
        <v>8</v>
      </c>
      <c r="J50" s="162" t="str">
        <f t="shared" si="5"/>
        <v/>
      </c>
      <c r="K50" s="165" t="str">
        <f t="shared" si="6"/>
        <v/>
      </c>
      <c r="L50" s="137" t="str">
        <f t="shared" si="7"/>
        <v/>
      </c>
      <c r="M50" s="168"/>
      <c r="N50" s="138" t="str">
        <f t="shared" si="8"/>
        <v/>
      </c>
      <c r="O50" s="139" t="str">
        <f>IF(AND(B50="",C50=""),"",IF(G50&gt;=20000,0.05,IF(G50&gt;=10000,0.1,IF(G50&gt;=5000,0.2,IF(G50&gt;=1000,0.3,IF(G50&gt;=0,0.4,{0}))))))</f>
        <v/>
      </c>
      <c r="P50" s="171" t="str">
        <f t="shared" si="9"/>
        <v/>
      </c>
      <c r="Q50" s="140" t="str">
        <f t="shared" si="10"/>
        <v/>
      </c>
      <c r="R50" s="141" t="s">
        <v>8</v>
      </c>
      <c r="S50" s="141" t="s">
        <v>8</v>
      </c>
      <c r="T50" s="141" t="s">
        <v>8</v>
      </c>
      <c r="U50" s="141" t="s">
        <v>8</v>
      </c>
      <c r="V50" s="142"/>
      <c r="W50" s="142"/>
      <c r="X50" s="143" t="s">
        <v>8</v>
      </c>
    </row>
    <row r="51" spans="1:24" s="4" customFormat="1" ht="18" customHeight="1" x14ac:dyDescent="0.15">
      <c r="A51" s="46">
        <f t="shared" si="1"/>
        <v>6</v>
      </c>
      <c r="B51" s="76" t="s">
        <v>8</v>
      </c>
      <c r="C51" s="76" t="s">
        <v>8</v>
      </c>
      <c r="D51" s="76" t="s">
        <v>8</v>
      </c>
      <c r="E51" s="77"/>
      <c r="F51" s="77" t="str">
        <f t="shared" si="2"/>
        <v/>
      </c>
      <c r="G51" s="111" t="str">
        <f t="shared" si="3"/>
        <v/>
      </c>
      <c r="H51" s="110" t="str">
        <f t="shared" si="4"/>
        <v/>
      </c>
      <c r="I51" s="69" t="s">
        <v>8</v>
      </c>
      <c r="J51" s="162" t="str">
        <f t="shared" si="5"/>
        <v/>
      </c>
      <c r="K51" s="165" t="str">
        <f t="shared" si="6"/>
        <v/>
      </c>
      <c r="L51" s="137" t="str">
        <f t="shared" si="7"/>
        <v/>
      </c>
      <c r="M51" s="168"/>
      <c r="N51" s="138" t="str">
        <f t="shared" si="8"/>
        <v/>
      </c>
      <c r="O51" s="139" t="str">
        <f>IF(AND(B51="",C51=""),"",IF(G51&gt;=20000,0.05,IF(G51&gt;=10000,0.1,IF(G51&gt;=5000,0.2,IF(G51&gt;=1000,0.3,IF(G51&gt;=0,0.4,{0}))))))</f>
        <v/>
      </c>
      <c r="P51" s="171" t="str">
        <f t="shared" si="9"/>
        <v/>
      </c>
      <c r="Q51" s="140" t="str">
        <f t="shared" si="10"/>
        <v/>
      </c>
      <c r="R51" s="141" t="s">
        <v>8</v>
      </c>
      <c r="S51" s="141" t="s">
        <v>8</v>
      </c>
      <c r="T51" s="141" t="s">
        <v>8</v>
      </c>
      <c r="U51" s="141" t="s">
        <v>8</v>
      </c>
      <c r="V51" s="142"/>
      <c r="W51" s="142"/>
      <c r="X51" s="143" t="s">
        <v>8</v>
      </c>
    </row>
    <row r="52" spans="1:24" s="4" customFormat="1" ht="18" customHeight="1" x14ac:dyDescent="0.15">
      <c r="A52" s="46">
        <f t="shared" si="1"/>
        <v>7</v>
      </c>
      <c r="B52" s="76" t="s">
        <v>8</v>
      </c>
      <c r="C52" s="76" t="s">
        <v>8</v>
      </c>
      <c r="D52" s="76" t="s">
        <v>8</v>
      </c>
      <c r="E52" s="77"/>
      <c r="F52" s="77" t="str">
        <f t="shared" si="2"/>
        <v/>
      </c>
      <c r="G52" s="111" t="str">
        <f t="shared" si="3"/>
        <v/>
      </c>
      <c r="H52" s="111" t="str">
        <f t="shared" si="4"/>
        <v/>
      </c>
      <c r="I52" s="144" t="s">
        <v>8</v>
      </c>
      <c r="J52" s="162" t="str">
        <f t="shared" si="5"/>
        <v/>
      </c>
      <c r="K52" s="165" t="str">
        <f t="shared" si="6"/>
        <v/>
      </c>
      <c r="L52" s="137" t="str">
        <f t="shared" si="7"/>
        <v/>
      </c>
      <c r="M52" s="168"/>
      <c r="N52" s="138" t="str">
        <f t="shared" si="8"/>
        <v/>
      </c>
      <c r="O52" s="139" t="str">
        <f>IF(AND(B52="",C52=""),"",IF(G52&gt;=20000,0.05,IF(G52&gt;=10000,0.1,IF(G52&gt;=5000,0.2,IF(G52&gt;=1000,0.3,IF(G52&gt;=0,0.4,{0}))))))</f>
        <v/>
      </c>
      <c r="P52" s="171" t="str">
        <f t="shared" si="9"/>
        <v/>
      </c>
      <c r="Q52" s="140" t="str">
        <f t="shared" si="10"/>
        <v/>
      </c>
      <c r="R52" s="141" t="s">
        <v>8</v>
      </c>
      <c r="S52" s="141" t="s">
        <v>8</v>
      </c>
      <c r="T52" s="141" t="s">
        <v>8</v>
      </c>
      <c r="U52" s="141" t="s">
        <v>8</v>
      </c>
      <c r="V52" s="142"/>
      <c r="W52" s="142"/>
      <c r="X52" s="143" t="s">
        <v>8</v>
      </c>
    </row>
    <row r="53" spans="1:24" s="4" customFormat="1" ht="18" customHeight="1" x14ac:dyDescent="0.15">
      <c r="A53" s="46">
        <f t="shared" si="1"/>
        <v>8</v>
      </c>
      <c r="B53" s="76" t="s">
        <v>8</v>
      </c>
      <c r="C53" s="76" t="s">
        <v>8</v>
      </c>
      <c r="D53" s="76" t="s">
        <v>8</v>
      </c>
      <c r="E53" s="77"/>
      <c r="F53" s="77" t="str">
        <f t="shared" si="2"/>
        <v/>
      </c>
      <c r="G53" s="111" t="str">
        <f t="shared" si="3"/>
        <v/>
      </c>
      <c r="H53" s="111" t="str">
        <f t="shared" si="4"/>
        <v/>
      </c>
      <c r="I53" s="144" t="s">
        <v>8</v>
      </c>
      <c r="J53" s="162" t="str">
        <f t="shared" si="5"/>
        <v/>
      </c>
      <c r="K53" s="165" t="str">
        <f t="shared" si="6"/>
        <v/>
      </c>
      <c r="L53" s="137" t="str">
        <f t="shared" si="7"/>
        <v/>
      </c>
      <c r="M53" s="168"/>
      <c r="N53" s="138" t="str">
        <f t="shared" si="8"/>
        <v/>
      </c>
      <c r="O53" s="139" t="str">
        <f>IF(AND(B53="",C53=""),"",IF(G53&gt;=20000,0.05,IF(G53&gt;=10000,0.1,IF(G53&gt;=5000,0.2,IF(G53&gt;=1000,0.3,IF(G53&gt;=0,0.4,{0}))))))</f>
        <v/>
      </c>
      <c r="P53" s="171" t="str">
        <f t="shared" si="9"/>
        <v/>
      </c>
      <c r="Q53" s="140" t="str">
        <f t="shared" si="10"/>
        <v/>
      </c>
      <c r="R53" s="141" t="s">
        <v>8</v>
      </c>
      <c r="S53" s="141" t="s">
        <v>8</v>
      </c>
      <c r="T53" s="141" t="s">
        <v>8</v>
      </c>
      <c r="U53" s="141" t="s">
        <v>8</v>
      </c>
      <c r="V53" s="142"/>
      <c r="W53" s="142"/>
      <c r="X53" s="143" t="s">
        <v>8</v>
      </c>
    </row>
    <row r="54" spans="1:24" s="4" customFormat="1" ht="18" customHeight="1" x14ac:dyDescent="0.15">
      <c r="A54" s="46">
        <f t="shared" si="1"/>
        <v>9</v>
      </c>
      <c r="B54" s="76" t="s">
        <v>8</v>
      </c>
      <c r="C54" s="67" t="s">
        <v>8</v>
      </c>
      <c r="D54" s="76" t="s">
        <v>8</v>
      </c>
      <c r="E54" s="77"/>
      <c r="F54" s="77" t="str">
        <f t="shared" si="2"/>
        <v/>
      </c>
      <c r="G54" s="111" t="str">
        <f t="shared" si="3"/>
        <v/>
      </c>
      <c r="H54" s="111" t="str">
        <f t="shared" si="4"/>
        <v/>
      </c>
      <c r="I54" s="144" t="s">
        <v>8</v>
      </c>
      <c r="J54" s="162" t="str">
        <f t="shared" si="5"/>
        <v/>
      </c>
      <c r="K54" s="165" t="str">
        <f t="shared" si="6"/>
        <v/>
      </c>
      <c r="L54" s="137" t="str">
        <f t="shared" si="7"/>
        <v/>
      </c>
      <c r="M54" s="168"/>
      <c r="N54" s="138" t="str">
        <f t="shared" si="8"/>
        <v/>
      </c>
      <c r="O54" s="139" t="str">
        <f>IF(AND(B54="",C54=""),"",IF(G54&gt;=20000,0.05,IF(G54&gt;=10000,0.1,IF(G54&gt;=5000,0.2,IF(G54&gt;=1000,0.3,IF(G54&gt;=0,0.4,{0}))))))</f>
        <v/>
      </c>
      <c r="P54" s="171" t="str">
        <f t="shared" si="9"/>
        <v/>
      </c>
      <c r="Q54" s="140" t="str">
        <f t="shared" si="10"/>
        <v/>
      </c>
      <c r="R54" s="141" t="s">
        <v>8</v>
      </c>
      <c r="S54" s="141" t="s">
        <v>8</v>
      </c>
      <c r="T54" s="141" t="s">
        <v>8</v>
      </c>
      <c r="U54" s="141" t="s">
        <v>8</v>
      </c>
      <c r="V54" s="142"/>
      <c r="W54" s="142"/>
      <c r="X54" s="143" t="s">
        <v>8</v>
      </c>
    </row>
    <row r="55" spans="1:24" s="4" customFormat="1" ht="18" customHeight="1" x14ac:dyDescent="0.15">
      <c r="A55" s="46">
        <f t="shared" si="1"/>
        <v>10</v>
      </c>
      <c r="B55" s="76" t="s">
        <v>8</v>
      </c>
      <c r="C55" s="76" t="s">
        <v>8</v>
      </c>
      <c r="D55" s="76" t="s">
        <v>8</v>
      </c>
      <c r="E55" s="77"/>
      <c r="F55" s="77" t="str">
        <f t="shared" si="2"/>
        <v/>
      </c>
      <c r="G55" s="111" t="str">
        <f t="shared" si="3"/>
        <v/>
      </c>
      <c r="H55" s="111" t="str">
        <f t="shared" si="4"/>
        <v/>
      </c>
      <c r="I55" s="144" t="s">
        <v>8</v>
      </c>
      <c r="J55" s="162" t="str">
        <f t="shared" si="5"/>
        <v/>
      </c>
      <c r="K55" s="165" t="str">
        <f t="shared" si="6"/>
        <v/>
      </c>
      <c r="L55" s="137" t="str">
        <f t="shared" si="7"/>
        <v/>
      </c>
      <c r="M55" s="168"/>
      <c r="N55" s="138" t="str">
        <f t="shared" si="8"/>
        <v/>
      </c>
      <c r="O55" s="139" t="str">
        <f>IF(AND(B55="",C55=""),"",IF(G55&gt;=20000,0.05,IF(G55&gt;=10000,0.1,IF(G55&gt;=5000,0.2,IF(G55&gt;=1000,0.3,IF(G55&gt;=0,0.4,{0}))))))</f>
        <v/>
      </c>
      <c r="P55" s="171" t="str">
        <f t="shared" si="9"/>
        <v/>
      </c>
      <c r="Q55" s="140" t="str">
        <f t="shared" si="10"/>
        <v/>
      </c>
      <c r="R55" s="141" t="s">
        <v>8</v>
      </c>
      <c r="S55" s="141" t="s">
        <v>8</v>
      </c>
      <c r="T55" s="141" t="s">
        <v>8</v>
      </c>
      <c r="U55" s="141" t="s">
        <v>8</v>
      </c>
      <c r="V55" s="142"/>
      <c r="W55" s="142"/>
      <c r="X55" s="143" t="s">
        <v>8</v>
      </c>
    </row>
    <row r="56" spans="1:24" s="4" customFormat="1" ht="18" customHeight="1" x14ac:dyDescent="0.15">
      <c r="A56" s="46">
        <f t="shared" si="1"/>
        <v>11</v>
      </c>
      <c r="B56" s="76" t="s">
        <v>8</v>
      </c>
      <c r="C56" s="76" t="s">
        <v>8</v>
      </c>
      <c r="D56" s="76" t="s">
        <v>8</v>
      </c>
      <c r="E56" s="77"/>
      <c r="F56" s="77" t="str">
        <f t="shared" si="2"/>
        <v/>
      </c>
      <c r="G56" s="111" t="str">
        <f t="shared" si="3"/>
        <v/>
      </c>
      <c r="H56" s="111" t="str">
        <f t="shared" si="4"/>
        <v/>
      </c>
      <c r="I56" s="144" t="s">
        <v>8</v>
      </c>
      <c r="J56" s="162" t="str">
        <f t="shared" si="5"/>
        <v/>
      </c>
      <c r="K56" s="165" t="str">
        <f t="shared" si="6"/>
        <v/>
      </c>
      <c r="L56" s="137" t="str">
        <f t="shared" si="7"/>
        <v/>
      </c>
      <c r="M56" s="168"/>
      <c r="N56" s="138" t="str">
        <f t="shared" si="8"/>
        <v/>
      </c>
      <c r="O56" s="139" t="str">
        <f>IF(AND(B56="",C56=""),"",IF(G56&gt;=20000,0.05,IF(G56&gt;=10000,0.1,IF(G56&gt;=5000,0.2,IF(G56&gt;=1000,0.3,IF(G56&gt;=0,0.4,{0}))))))</f>
        <v/>
      </c>
      <c r="P56" s="171" t="str">
        <f t="shared" si="9"/>
        <v/>
      </c>
      <c r="Q56" s="140" t="str">
        <f t="shared" si="10"/>
        <v/>
      </c>
      <c r="R56" s="141" t="s">
        <v>8</v>
      </c>
      <c r="S56" s="141" t="s">
        <v>8</v>
      </c>
      <c r="T56" s="141" t="s">
        <v>8</v>
      </c>
      <c r="U56" s="141" t="s">
        <v>8</v>
      </c>
      <c r="V56" s="142"/>
      <c r="W56" s="142"/>
      <c r="X56" s="143" t="s">
        <v>8</v>
      </c>
    </row>
    <row r="57" spans="1:24" s="4" customFormat="1" ht="18" customHeight="1" x14ac:dyDescent="0.15">
      <c r="A57" s="46">
        <f t="shared" si="1"/>
        <v>12</v>
      </c>
      <c r="B57" s="67" t="s">
        <v>8</v>
      </c>
      <c r="C57" s="67" t="s">
        <v>8</v>
      </c>
      <c r="D57" s="67" t="s">
        <v>8</v>
      </c>
      <c r="E57" s="68"/>
      <c r="F57" s="68" t="str">
        <f t="shared" si="2"/>
        <v/>
      </c>
      <c r="G57" s="110" t="str">
        <f t="shared" si="3"/>
        <v/>
      </c>
      <c r="H57" s="111" t="str">
        <f t="shared" si="4"/>
        <v/>
      </c>
      <c r="I57" s="144" t="s">
        <v>8</v>
      </c>
      <c r="J57" s="162" t="str">
        <f t="shared" si="5"/>
        <v/>
      </c>
      <c r="K57" s="165" t="str">
        <f t="shared" si="6"/>
        <v/>
      </c>
      <c r="L57" s="137" t="str">
        <f t="shared" si="7"/>
        <v/>
      </c>
      <c r="M57" s="168"/>
      <c r="N57" s="138" t="str">
        <f t="shared" si="8"/>
        <v/>
      </c>
      <c r="O57" s="139" t="str">
        <f>IF(AND(B57="",C57=""),"",IF(G57&gt;=20000,0.05,IF(G57&gt;=10000,0.1,IF(G57&gt;=5000,0.2,IF(G57&gt;=1000,0.3,IF(G57&gt;=0,0.4,{0}))))))</f>
        <v/>
      </c>
      <c r="P57" s="171" t="str">
        <f t="shared" si="9"/>
        <v/>
      </c>
      <c r="Q57" s="140" t="str">
        <f t="shared" si="10"/>
        <v/>
      </c>
      <c r="R57" s="141" t="s">
        <v>8</v>
      </c>
      <c r="S57" s="141" t="s">
        <v>8</v>
      </c>
      <c r="T57" s="141" t="s">
        <v>8</v>
      </c>
      <c r="U57" s="141" t="s">
        <v>8</v>
      </c>
      <c r="V57" s="142"/>
      <c r="W57" s="142"/>
      <c r="X57" s="143" t="s">
        <v>8</v>
      </c>
    </row>
    <row r="58" spans="1:24" s="4" customFormat="1" ht="18" customHeight="1" x14ac:dyDescent="0.15">
      <c r="A58" s="46">
        <f t="shared" si="1"/>
        <v>13</v>
      </c>
      <c r="B58" s="67" t="s">
        <v>8</v>
      </c>
      <c r="C58" s="67" t="s">
        <v>8</v>
      </c>
      <c r="D58" s="67" t="s">
        <v>8</v>
      </c>
      <c r="E58" s="68"/>
      <c r="F58" s="68" t="str">
        <f t="shared" si="2"/>
        <v/>
      </c>
      <c r="G58" s="110" t="str">
        <f t="shared" si="3"/>
        <v/>
      </c>
      <c r="H58" s="111" t="str">
        <f t="shared" si="4"/>
        <v/>
      </c>
      <c r="I58" s="144" t="s">
        <v>8</v>
      </c>
      <c r="J58" s="162" t="str">
        <f t="shared" si="5"/>
        <v/>
      </c>
      <c r="K58" s="165" t="str">
        <f t="shared" si="6"/>
        <v/>
      </c>
      <c r="L58" s="137" t="str">
        <f t="shared" si="7"/>
        <v/>
      </c>
      <c r="M58" s="168"/>
      <c r="N58" s="138" t="str">
        <f t="shared" si="8"/>
        <v/>
      </c>
      <c r="O58" s="139" t="str">
        <f>IF(AND(B58="",C58=""),"",IF(G58&gt;=20000,0.05,IF(G58&gt;=10000,0.1,IF(G58&gt;=5000,0.2,IF(G58&gt;=1000,0.3,IF(G58&gt;=0,0.4,{0}))))))</f>
        <v/>
      </c>
      <c r="P58" s="171" t="str">
        <f t="shared" si="9"/>
        <v/>
      </c>
      <c r="Q58" s="140" t="str">
        <f t="shared" si="10"/>
        <v/>
      </c>
      <c r="R58" s="141" t="s">
        <v>8</v>
      </c>
      <c r="S58" s="141" t="s">
        <v>8</v>
      </c>
      <c r="T58" s="141" t="s">
        <v>8</v>
      </c>
      <c r="U58" s="141" t="s">
        <v>8</v>
      </c>
      <c r="V58" s="142"/>
      <c r="W58" s="142"/>
      <c r="X58" s="143" t="s">
        <v>8</v>
      </c>
    </row>
    <row r="59" spans="1:24" s="4" customFormat="1" ht="18" customHeight="1" x14ac:dyDescent="0.15">
      <c r="A59" s="46">
        <f t="shared" si="1"/>
        <v>14</v>
      </c>
      <c r="B59" s="67" t="s">
        <v>8</v>
      </c>
      <c r="C59" s="67" t="s">
        <v>8</v>
      </c>
      <c r="D59" s="67" t="s">
        <v>8</v>
      </c>
      <c r="E59" s="68"/>
      <c r="F59" s="68" t="str">
        <f t="shared" si="2"/>
        <v/>
      </c>
      <c r="G59" s="110" t="str">
        <f t="shared" si="3"/>
        <v/>
      </c>
      <c r="H59" s="110" t="str">
        <f t="shared" si="4"/>
        <v/>
      </c>
      <c r="I59" s="69" t="s">
        <v>8</v>
      </c>
      <c r="J59" s="162" t="str">
        <f t="shared" si="5"/>
        <v/>
      </c>
      <c r="K59" s="165" t="str">
        <f t="shared" si="6"/>
        <v/>
      </c>
      <c r="L59" s="137" t="str">
        <f t="shared" si="7"/>
        <v/>
      </c>
      <c r="M59" s="168"/>
      <c r="N59" s="138" t="str">
        <f t="shared" si="8"/>
        <v/>
      </c>
      <c r="O59" s="139" t="str">
        <f>IF(AND(B59="",C59=""),"",IF(G59&gt;=20000,0.05,IF(G59&gt;=10000,0.1,IF(G59&gt;=5000,0.2,IF(G59&gt;=1000,0.3,IF(G59&gt;=0,0.4,{0}))))))</f>
        <v/>
      </c>
      <c r="P59" s="171" t="str">
        <f t="shared" si="9"/>
        <v/>
      </c>
      <c r="Q59" s="140" t="str">
        <f t="shared" si="10"/>
        <v/>
      </c>
      <c r="R59" s="141" t="s">
        <v>8</v>
      </c>
      <c r="S59" s="141" t="s">
        <v>8</v>
      </c>
      <c r="T59" s="141" t="s">
        <v>8</v>
      </c>
      <c r="U59" s="141" t="s">
        <v>8</v>
      </c>
      <c r="V59" s="142"/>
      <c r="W59" s="142"/>
      <c r="X59" s="143" t="s">
        <v>8</v>
      </c>
    </row>
    <row r="60" spans="1:24" s="4" customFormat="1" ht="18" customHeight="1" x14ac:dyDescent="0.15">
      <c r="A60" s="46">
        <f t="shared" si="1"/>
        <v>15</v>
      </c>
      <c r="B60" s="67" t="s">
        <v>8</v>
      </c>
      <c r="C60" s="67" t="s">
        <v>8</v>
      </c>
      <c r="D60" s="67" t="s">
        <v>8</v>
      </c>
      <c r="E60" s="68"/>
      <c r="F60" s="68" t="str">
        <f t="shared" si="2"/>
        <v/>
      </c>
      <c r="G60" s="110" t="str">
        <f t="shared" si="3"/>
        <v/>
      </c>
      <c r="H60" s="110" t="str">
        <f t="shared" si="4"/>
        <v/>
      </c>
      <c r="I60" s="69" t="s">
        <v>8</v>
      </c>
      <c r="J60" s="162" t="str">
        <f t="shared" si="5"/>
        <v/>
      </c>
      <c r="K60" s="165" t="str">
        <f t="shared" si="6"/>
        <v/>
      </c>
      <c r="L60" s="137" t="str">
        <f t="shared" si="7"/>
        <v/>
      </c>
      <c r="M60" s="168"/>
      <c r="N60" s="138" t="str">
        <f t="shared" si="8"/>
        <v/>
      </c>
      <c r="O60" s="139" t="str">
        <f>IF(AND(B60="",C60=""),"",IF(G60&gt;=20000,0.05,IF(G60&gt;=10000,0.1,IF(G60&gt;=5000,0.2,IF(G60&gt;=1000,0.3,IF(G60&gt;=0,0.4,{0}))))))</f>
        <v/>
      </c>
      <c r="P60" s="171" t="str">
        <f t="shared" si="9"/>
        <v/>
      </c>
      <c r="Q60" s="140" t="str">
        <f t="shared" si="10"/>
        <v/>
      </c>
      <c r="R60" s="141" t="s">
        <v>8</v>
      </c>
      <c r="S60" s="141" t="s">
        <v>8</v>
      </c>
      <c r="T60" s="141" t="s">
        <v>8</v>
      </c>
      <c r="U60" s="141" t="s">
        <v>8</v>
      </c>
      <c r="V60" s="142"/>
      <c r="W60" s="142"/>
      <c r="X60" s="143" t="s">
        <v>8</v>
      </c>
    </row>
    <row r="61" spans="1:24" s="4" customFormat="1" ht="18" customHeight="1" x14ac:dyDescent="0.15">
      <c r="A61" s="46">
        <f t="shared" si="1"/>
        <v>16</v>
      </c>
      <c r="B61" s="67" t="s">
        <v>8</v>
      </c>
      <c r="C61" s="67" t="s">
        <v>8</v>
      </c>
      <c r="D61" s="67" t="s">
        <v>8</v>
      </c>
      <c r="E61" s="68"/>
      <c r="F61" s="68" t="str">
        <f t="shared" si="2"/>
        <v/>
      </c>
      <c r="G61" s="110" t="str">
        <f t="shared" si="3"/>
        <v/>
      </c>
      <c r="H61" s="110" t="str">
        <f t="shared" si="4"/>
        <v/>
      </c>
      <c r="I61" s="69" t="s">
        <v>8</v>
      </c>
      <c r="J61" s="162" t="str">
        <f t="shared" si="5"/>
        <v/>
      </c>
      <c r="K61" s="165" t="str">
        <f t="shared" si="6"/>
        <v/>
      </c>
      <c r="L61" s="137" t="str">
        <f t="shared" si="7"/>
        <v/>
      </c>
      <c r="M61" s="168"/>
      <c r="N61" s="138" t="str">
        <f t="shared" si="8"/>
        <v/>
      </c>
      <c r="O61" s="139" t="str">
        <f>IF(AND(B61="",C61=""),"",IF(G61&gt;=20000,0.05,IF(G61&gt;=10000,0.1,IF(G61&gt;=5000,0.2,IF(G61&gt;=1000,0.3,IF(G61&gt;=0,0.4,{0}))))))</f>
        <v/>
      </c>
      <c r="P61" s="171" t="str">
        <f t="shared" si="9"/>
        <v/>
      </c>
      <c r="Q61" s="140" t="str">
        <f t="shared" si="10"/>
        <v/>
      </c>
      <c r="R61" s="141" t="s">
        <v>8</v>
      </c>
      <c r="S61" s="141" t="s">
        <v>8</v>
      </c>
      <c r="T61" s="141" t="s">
        <v>8</v>
      </c>
      <c r="U61" s="141" t="s">
        <v>8</v>
      </c>
      <c r="V61" s="142"/>
      <c r="W61" s="142"/>
      <c r="X61" s="143" t="s">
        <v>8</v>
      </c>
    </row>
    <row r="62" spans="1:24" s="4" customFormat="1" ht="18" customHeight="1" x14ac:dyDescent="0.15">
      <c r="A62" s="46">
        <f t="shared" si="1"/>
        <v>17</v>
      </c>
      <c r="B62" s="67" t="s">
        <v>8</v>
      </c>
      <c r="C62" s="67" t="s">
        <v>8</v>
      </c>
      <c r="D62" s="67" t="s">
        <v>8</v>
      </c>
      <c r="E62" s="68"/>
      <c r="F62" s="68" t="str">
        <f t="shared" si="2"/>
        <v/>
      </c>
      <c r="G62" s="110" t="str">
        <f t="shared" si="3"/>
        <v/>
      </c>
      <c r="H62" s="110" t="str">
        <f t="shared" si="4"/>
        <v/>
      </c>
      <c r="I62" s="69" t="s">
        <v>8</v>
      </c>
      <c r="J62" s="162" t="str">
        <f t="shared" si="5"/>
        <v/>
      </c>
      <c r="K62" s="165" t="str">
        <f t="shared" si="6"/>
        <v/>
      </c>
      <c r="L62" s="137" t="str">
        <f t="shared" si="7"/>
        <v/>
      </c>
      <c r="M62" s="168"/>
      <c r="N62" s="138" t="str">
        <f t="shared" si="8"/>
        <v/>
      </c>
      <c r="O62" s="139" t="str">
        <f>IF(AND(B62="",C62=""),"",IF(G62&gt;=20000,0.05,IF(G62&gt;=10000,0.1,IF(G62&gt;=5000,0.2,IF(G62&gt;=1000,0.3,IF(G62&gt;=0,0.4,{0}))))))</f>
        <v/>
      </c>
      <c r="P62" s="171" t="str">
        <f t="shared" si="9"/>
        <v/>
      </c>
      <c r="Q62" s="140" t="str">
        <f t="shared" si="10"/>
        <v/>
      </c>
      <c r="R62" s="141" t="s">
        <v>8</v>
      </c>
      <c r="S62" s="141" t="s">
        <v>8</v>
      </c>
      <c r="T62" s="141" t="s">
        <v>8</v>
      </c>
      <c r="U62" s="141" t="s">
        <v>8</v>
      </c>
      <c r="V62" s="142"/>
      <c r="W62" s="142"/>
      <c r="X62" s="143" t="s">
        <v>8</v>
      </c>
    </row>
    <row r="63" spans="1:24" s="4" customFormat="1" ht="18" customHeight="1" x14ac:dyDescent="0.15">
      <c r="A63" s="46">
        <f t="shared" si="1"/>
        <v>18</v>
      </c>
      <c r="B63" s="67" t="s">
        <v>8</v>
      </c>
      <c r="C63" s="67" t="s">
        <v>8</v>
      </c>
      <c r="D63" s="67" t="s">
        <v>8</v>
      </c>
      <c r="E63" s="68"/>
      <c r="F63" s="68" t="str">
        <f t="shared" si="2"/>
        <v/>
      </c>
      <c r="G63" s="110" t="str">
        <f t="shared" si="3"/>
        <v/>
      </c>
      <c r="H63" s="110" t="str">
        <f t="shared" si="4"/>
        <v/>
      </c>
      <c r="I63" s="69" t="s">
        <v>8</v>
      </c>
      <c r="J63" s="162" t="str">
        <f t="shared" si="5"/>
        <v/>
      </c>
      <c r="K63" s="165" t="str">
        <f t="shared" si="6"/>
        <v/>
      </c>
      <c r="L63" s="137" t="str">
        <f t="shared" si="7"/>
        <v/>
      </c>
      <c r="M63" s="168"/>
      <c r="N63" s="138" t="str">
        <f t="shared" si="8"/>
        <v/>
      </c>
      <c r="O63" s="139" t="str">
        <f>IF(AND(B63="",C63=""),"",IF(G63&gt;=20000,0.05,IF(G63&gt;=10000,0.1,IF(G63&gt;=5000,0.2,IF(G63&gt;=1000,0.3,IF(G63&gt;=0,0.4,{0}))))))</f>
        <v/>
      </c>
      <c r="P63" s="171" t="str">
        <f t="shared" si="9"/>
        <v/>
      </c>
      <c r="Q63" s="140" t="str">
        <f t="shared" si="10"/>
        <v/>
      </c>
      <c r="R63" s="141" t="s">
        <v>8</v>
      </c>
      <c r="S63" s="141" t="s">
        <v>8</v>
      </c>
      <c r="T63" s="141" t="s">
        <v>8</v>
      </c>
      <c r="U63" s="141" t="s">
        <v>8</v>
      </c>
      <c r="V63" s="142"/>
      <c r="W63" s="142"/>
      <c r="X63" s="143" t="s">
        <v>8</v>
      </c>
    </row>
    <row r="64" spans="1:24" s="4" customFormat="1" ht="18" customHeight="1" x14ac:dyDescent="0.15">
      <c r="A64" s="46">
        <f t="shared" si="1"/>
        <v>19</v>
      </c>
      <c r="B64" s="67" t="s">
        <v>8</v>
      </c>
      <c r="C64" s="67" t="s">
        <v>8</v>
      </c>
      <c r="D64" s="67" t="s">
        <v>8</v>
      </c>
      <c r="E64" s="68"/>
      <c r="F64" s="68" t="str">
        <f t="shared" si="2"/>
        <v/>
      </c>
      <c r="G64" s="110" t="str">
        <f t="shared" si="3"/>
        <v/>
      </c>
      <c r="H64" s="110" t="str">
        <f t="shared" si="4"/>
        <v/>
      </c>
      <c r="I64" s="69" t="s">
        <v>8</v>
      </c>
      <c r="J64" s="162" t="str">
        <f t="shared" si="5"/>
        <v/>
      </c>
      <c r="K64" s="165" t="str">
        <f t="shared" si="6"/>
        <v/>
      </c>
      <c r="L64" s="137" t="str">
        <f t="shared" si="7"/>
        <v/>
      </c>
      <c r="M64" s="168"/>
      <c r="N64" s="138" t="str">
        <f t="shared" si="8"/>
        <v/>
      </c>
      <c r="O64" s="139" t="str">
        <f>IF(AND(B64="",C64=""),"",IF(G64&gt;=20000,0.05,IF(G64&gt;=10000,0.1,IF(G64&gt;=5000,0.2,IF(G64&gt;=1000,0.3,IF(G64&gt;=0,0.4,{0}))))))</f>
        <v/>
      </c>
      <c r="P64" s="171" t="str">
        <f t="shared" si="9"/>
        <v/>
      </c>
      <c r="Q64" s="140" t="str">
        <f t="shared" si="10"/>
        <v/>
      </c>
      <c r="R64" s="141" t="s">
        <v>8</v>
      </c>
      <c r="S64" s="141" t="s">
        <v>8</v>
      </c>
      <c r="T64" s="141" t="s">
        <v>8</v>
      </c>
      <c r="U64" s="141" t="s">
        <v>8</v>
      </c>
      <c r="V64" s="142"/>
      <c r="W64" s="142"/>
      <c r="X64" s="143" t="s">
        <v>8</v>
      </c>
    </row>
    <row r="65" spans="1:24" s="4" customFormat="1" ht="18" customHeight="1" x14ac:dyDescent="0.15">
      <c r="A65" s="46">
        <f t="shared" si="1"/>
        <v>20</v>
      </c>
      <c r="B65" s="67" t="s">
        <v>8</v>
      </c>
      <c r="C65" s="67" t="s">
        <v>8</v>
      </c>
      <c r="D65" s="67" t="s">
        <v>8</v>
      </c>
      <c r="E65" s="68"/>
      <c r="F65" s="68" t="str">
        <f t="shared" si="2"/>
        <v/>
      </c>
      <c r="G65" s="110" t="str">
        <f t="shared" si="3"/>
        <v/>
      </c>
      <c r="H65" s="110" t="str">
        <f t="shared" si="4"/>
        <v/>
      </c>
      <c r="I65" s="69" t="s">
        <v>8</v>
      </c>
      <c r="J65" s="162" t="str">
        <f t="shared" si="5"/>
        <v/>
      </c>
      <c r="K65" s="165" t="str">
        <f t="shared" si="6"/>
        <v/>
      </c>
      <c r="L65" s="137" t="str">
        <f t="shared" si="7"/>
        <v/>
      </c>
      <c r="M65" s="168"/>
      <c r="N65" s="138" t="str">
        <f t="shared" si="8"/>
        <v/>
      </c>
      <c r="O65" s="139" t="str">
        <f>IF(AND(B65="",C65=""),"",IF(G65&gt;=20000,0.05,IF(G65&gt;=10000,0.1,IF(G65&gt;=5000,0.2,IF(G65&gt;=1000,0.3,IF(G65&gt;=0,0.4,{0}))))))</f>
        <v/>
      </c>
      <c r="P65" s="171" t="str">
        <f t="shared" si="9"/>
        <v/>
      </c>
      <c r="Q65" s="140" t="str">
        <f t="shared" si="10"/>
        <v/>
      </c>
      <c r="R65" s="141" t="s">
        <v>8</v>
      </c>
      <c r="S65" s="141" t="s">
        <v>8</v>
      </c>
      <c r="T65" s="141" t="s">
        <v>8</v>
      </c>
      <c r="U65" s="141" t="s">
        <v>8</v>
      </c>
      <c r="V65" s="142"/>
      <c r="W65" s="142"/>
      <c r="X65" s="143" t="s">
        <v>8</v>
      </c>
    </row>
    <row r="66" spans="1:24" s="4" customFormat="1" ht="18" customHeight="1" x14ac:dyDescent="0.15">
      <c r="A66" s="46">
        <f t="shared" si="1"/>
        <v>21</v>
      </c>
      <c r="B66" s="145" t="s">
        <v>37</v>
      </c>
      <c r="C66" s="146"/>
      <c r="D66" s="102"/>
      <c r="E66" s="77"/>
      <c r="F66" s="77"/>
      <c r="G66" s="111"/>
      <c r="H66" s="111">
        <f>ROUND(SUM(H45:INDEX(H:H,ROW()-1)),2)</f>
        <v>0</v>
      </c>
      <c r="I66" s="69" t="s">
        <v>8</v>
      </c>
      <c r="J66" s="162"/>
      <c r="K66" s="165">
        <f>ROUND(SUM(K45:INDEX(K:K,ROW()-1)),2)</f>
        <v>0</v>
      </c>
      <c r="L66" s="137"/>
      <c r="M66" s="168"/>
      <c r="N66" s="138"/>
      <c r="O66" s="139"/>
      <c r="P66" s="171"/>
      <c r="Q66" s="140"/>
      <c r="R66" s="141" t="s">
        <v>8</v>
      </c>
      <c r="S66" s="141" t="s">
        <v>8</v>
      </c>
      <c r="T66" s="141" t="s">
        <v>8</v>
      </c>
      <c r="U66" s="141" t="s">
        <v>8</v>
      </c>
      <c r="V66" s="142">
        <f>ROUND(SUMPRODUCT(F45:INDEX(F:F,ROW()-1),V45:INDEX(V:V,ROW()-1)),2)</f>
        <v>0</v>
      </c>
      <c r="W66" s="142">
        <f>ROUND(SUMPRODUCT(F45:INDEX(F:F,ROW()-1),W45:INDEX(W:W,ROW()-1)),2)</f>
        <v>0</v>
      </c>
      <c r="X66" s="143" t="s">
        <v>8</v>
      </c>
    </row>
    <row r="67" spans="1:24" s="4" customFormat="1" ht="18" customHeight="1" x14ac:dyDescent="0.15">
      <c r="A67" s="46">
        <f t="shared" si="1"/>
        <v>22</v>
      </c>
      <c r="B67" s="145" t="s">
        <v>91</v>
      </c>
      <c r="C67" s="146"/>
      <c r="D67" s="102"/>
      <c r="E67" s="77"/>
      <c r="F67" s="77"/>
      <c r="G67" s="111"/>
      <c r="H67" s="111">
        <f>ROUND(V66*1.18,0)</f>
        <v>0</v>
      </c>
      <c r="I67" s="69" t="s">
        <v>8</v>
      </c>
      <c r="J67" s="162"/>
      <c r="K67" s="165">
        <f>H67</f>
        <v>0</v>
      </c>
      <c r="L67" s="137"/>
      <c r="M67" s="168"/>
      <c r="N67" s="138"/>
      <c r="O67" s="139"/>
      <c r="P67" s="171"/>
      <c r="Q67" s="140" t="s">
        <v>92</v>
      </c>
      <c r="R67" s="141" t="s">
        <v>8</v>
      </c>
      <c r="S67" s="141" t="s">
        <v>8</v>
      </c>
      <c r="T67" s="141" t="s">
        <v>8</v>
      </c>
      <c r="U67" s="141" t="s">
        <v>8</v>
      </c>
      <c r="V67" s="142"/>
      <c r="W67" s="142"/>
      <c r="X67" s="143" t="s">
        <v>8</v>
      </c>
    </row>
    <row r="68" spans="1:24" s="4" customFormat="1" ht="18" customHeight="1" x14ac:dyDescent="0.15">
      <c r="A68" s="46">
        <f t="shared" si="1"/>
        <v>23</v>
      </c>
      <c r="B68" s="145" t="s">
        <v>93</v>
      </c>
      <c r="C68" s="146"/>
      <c r="D68" s="102"/>
      <c r="E68" s="77"/>
      <c r="F68" s="77"/>
      <c r="G68" s="111"/>
      <c r="H68" s="111">
        <f>ROUND(SUM(H66:H67)*0.1,0)</f>
        <v>0</v>
      </c>
      <c r="I68" s="69" t="s">
        <v>8</v>
      </c>
      <c r="J68" s="162"/>
      <c r="K68" s="165"/>
      <c r="L68" s="137"/>
      <c r="M68" s="168"/>
      <c r="N68" s="138"/>
      <c r="O68" s="139"/>
      <c r="P68" s="171"/>
      <c r="Q68" s="140"/>
      <c r="R68" s="141" t="s">
        <v>8</v>
      </c>
      <c r="S68" s="141" t="s">
        <v>8</v>
      </c>
      <c r="T68" s="141" t="s">
        <v>8</v>
      </c>
      <c r="U68" s="141" t="s">
        <v>8</v>
      </c>
      <c r="V68" s="142"/>
      <c r="W68" s="142"/>
      <c r="X68" s="143" t="s">
        <v>8</v>
      </c>
    </row>
    <row r="69" spans="1:24" s="4" customFormat="1" ht="18" customHeight="1" x14ac:dyDescent="0.15">
      <c r="A69" s="46">
        <f t="shared" si="1"/>
        <v>24</v>
      </c>
      <c r="B69" s="145" t="s">
        <v>94</v>
      </c>
      <c r="C69" s="146"/>
      <c r="D69" s="102"/>
      <c r="E69" s="77"/>
      <c r="F69" s="77"/>
      <c r="G69" s="111"/>
      <c r="H69" s="111">
        <f>ROUND(SUM(H66:H68)*0.13,0)</f>
        <v>0</v>
      </c>
      <c r="I69" s="69" t="s">
        <v>8</v>
      </c>
      <c r="J69" s="162"/>
      <c r="K69" s="165"/>
      <c r="L69" s="137"/>
      <c r="M69" s="168"/>
      <c r="N69" s="138"/>
      <c r="O69" s="139"/>
      <c r="P69" s="171"/>
      <c r="Q69" s="140" t="s">
        <v>92</v>
      </c>
      <c r="R69" s="141" t="s">
        <v>8</v>
      </c>
      <c r="S69" s="141" t="s">
        <v>8</v>
      </c>
      <c r="T69" s="141" t="s">
        <v>8</v>
      </c>
      <c r="U69" s="141" t="s">
        <v>8</v>
      </c>
      <c r="V69" s="142"/>
      <c r="W69" s="142"/>
      <c r="X69" s="143" t="s">
        <v>8</v>
      </c>
    </row>
    <row r="70" spans="1:24" s="4" customFormat="1" ht="18" customHeight="1" x14ac:dyDescent="0.15">
      <c r="A70" s="46">
        <f t="shared" si="1"/>
        <v>25</v>
      </c>
      <c r="B70" s="102" t="s">
        <v>89</v>
      </c>
      <c r="C70" s="146"/>
      <c r="D70" s="102"/>
      <c r="E70" s="77"/>
      <c r="F70" s="77"/>
      <c r="G70" s="111"/>
      <c r="H70" s="111">
        <f>ROUND(SUM(H66:H69),0)</f>
        <v>0</v>
      </c>
      <c r="I70" s="147"/>
      <c r="J70" s="162"/>
      <c r="K70" s="165">
        <f>ROUND(SUM(K66:K66),2)</f>
        <v>0</v>
      </c>
      <c r="L70" s="148"/>
      <c r="M70" s="168"/>
      <c r="N70" s="149"/>
      <c r="O70" s="150"/>
      <c r="P70" s="171"/>
      <c r="Q70" s="140"/>
      <c r="R70" s="141" t="s">
        <v>8</v>
      </c>
      <c r="S70" s="141" t="s">
        <v>8</v>
      </c>
      <c r="T70" s="141" t="s">
        <v>8</v>
      </c>
      <c r="U70" s="141" t="s">
        <v>8</v>
      </c>
      <c r="V70" s="142"/>
      <c r="W70" s="142"/>
      <c r="X70" s="143" t="s">
        <v>8</v>
      </c>
    </row>
    <row r="71" spans="1:24" s="4" customFormat="1" ht="18" customHeight="1" x14ac:dyDescent="0.15">
      <c r="A71" s="151" t="s">
        <v>90</v>
      </c>
      <c r="B71" s="152"/>
      <c r="C71" s="153"/>
      <c r="D71" s="154"/>
      <c r="E71" s="154" t="s">
        <v>63</v>
      </c>
      <c r="F71" s="154">
        <v>1</v>
      </c>
      <c r="G71" s="160">
        <f>ROUND(H70,2)</f>
        <v>0</v>
      </c>
      <c r="H71" s="160">
        <f>ROUND(F71*G71,0)</f>
        <v>0</v>
      </c>
      <c r="I71" s="155"/>
      <c r="J71" s="163"/>
      <c r="K71" s="166">
        <f>ROUND(K70*F71,2)</f>
        <v>0</v>
      </c>
      <c r="L71" s="156"/>
      <c r="M71" s="169"/>
      <c r="N71" s="157"/>
      <c r="O71" s="158"/>
      <c r="P71" s="172"/>
      <c r="Q71" s="140"/>
      <c r="R71" s="141" t="s">
        <v>8</v>
      </c>
      <c r="S71" s="141" t="s">
        <v>8</v>
      </c>
      <c r="T71" s="141" t="s">
        <v>8</v>
      </c>
      <c r="U71" s="141" t="s">
        <v>8</v>
      </c>
      <c r="V71" s="142"/>
      <c r="W71" s="142"/>
      <c r="X71" s="143" t="s">
        <v>8</v>
      </c>
    </row>
    <row r="72" spans="1:24" s="128" customFormat="1" ht="18" customHeight="1" x14ac:dyDescent="0.15">
      <c r="A72" s="103"/>
      <c r="B72" s="126" t="s">
        <v>8</v>
      </c>
      <c r="C72" s="126" t="s">
        <v>8</v>
      </c>
      <c r="D72" s="126" t="s">
        <v>8</v>
      </c>
      <c r="Q72" s="5"/>
      <c r="R72" s="5"/>
      <c r="S72" s="5"/>
      <c r="T72" s="5"/>
      <c r="U72" s="5"/>
      <c r="X72" s="126" t="s">
        <v>8</v>
      </c>
    </row>
    <row r="73" spans="1:24" s="128" customFormat="1" ht="18" customHeight="1" x14ac:dyDescent="0.15">
      <c r="A73" s="103"/>
      <c r="B73" s="126" t="s">
        <v>8</v>
      </c>
      <c r="C73" s="126" t="s">
        <v>8</v>
      </c>
      <c r="D73" s="126" t="s">
        <v>8</v>
      </c>
      <c r="Q73" s="5"/>
      <c r="R73" s="5"/>
      <c r="S73" s="5"/>
      <c r="T73" s="5"/>
      <c r="U73" s="5"/>
      <c r="X73" s="126" t="s">
        <v>8</v>
      </c>
    </row>
    <row r="74" spans="1:24" s="4" customFormat="1" ht="18" customHeight="1" x14ac:dyDescent="0.15">
      <c r="A74" s="173" t="str" cm="1">
        <f t="array" aca="1" ref="A74" ca="1">CONCATENATE("报价人：", INDIRECT("项目信息!$B$8"))</f>
        <v>报价人：李四</v>
      </c>
      <c r="B74" s="105"/>
      <c r="C74" s="128"/>
      <c r="D74" s="128"/>
      <c r="E74" s="128"/>
      <c r="F74" s="128"/>
      <c r="G74" s="128"/>
      <c r="H74" s="159" cm="1">
        <f t="array" aca="1" ref="H74" ca="1">INDIRECT("项目信息!$B$9")</f>
        <v>0</v>
      </c>
      <c r="Q74" s="5"/>
      <c r="R74" s="5"/>
      <c r="S74" s="5"/>
      <c r="T74" s="5"/>
      <c r="U74" s="5"/>
      <c r="X74" s="135" t="s">
        <v>8</v>
      </c>
    </row>
    <row r="75" spans="1:24" ht="18" customHeight="1" x14ac:dyDescent="0.15">
      <c r="A75" s="159"/>
    </row>
  </sheetData>
  <mergeCells count="13">
    <mergeCell ref="D44:E44"/>
    <mergeCell ref="G44:H44"/>
    <mergeCell ref="A2:I2"/>
    <mergeCell ref="A3:I3"/>
    <mergeCell ref="A4:I4"/>
    <mergeCell ref="A5:G5"/>
    <mergeCell ref="H5:I5"/>
    <mergeCell ref="C35:D35"/>
    <mergeCell ref="A36:A37"/>
    <mergeCell ref="B36:I37"/>
    <mergeCell ref="A41:I41"/>
    <mergeCell ref="A42:I42"/>
    <mergeCell ref="A43:I43"/>
  </mergeCells>
  <phoneticPr fontId="1" type="noConversion"/>
  <dataValidations disablePrompts="1" count="5">
    <dataValidation errorStyle="information" allowBlank="1" showInputMessage="1" showErrorMessage="1" prompt="表示有几个这样的分类/段，默认为1。箱变（或多个相同分类/段需翻倍）报价时，请在此处填写箱变台数或倍数。非以上情况，此处勿动。" sqref="F35" xr:uid="{F2166EE5-377C-4D35-92B6-EFD7FC978EEC}"/>
    <dataValidation type="list" allowBlank="1" showInputMessage="1" showErrorMessage="1" sqref="M44" xr:uid="{55157256-1DC2-4633-ADA5-D7CDFF2B9F20}">
      <formula1>"高压柜,低压固定柜,低压抽屉柜,动力柜,动力配电箱,控制配电箱,照明配电箱,电表箱,其它箱"</formula1>
    </dataValidation>
    <dataValidation type="list" allowBlank="1" showInputMessage="1" showErrorMessage="1" sqref="Q46:Q71" xr:uid="{BC2C2278-CE2F-438D-A110-F2CCB850C474}">
      <formula1>"元件,母排,辅料,箱体,费用"</formula1>
    </dataValidation>
    <dataValidation imeMode="on" allowBlank="1" showInputMessage="1" showErrorMessage="1" sqref="B46 D46:E46" xr:uid="{AE345051-3422-4E2D-8A31-745B42C09C0D}"/>
    <dataValidation type="list" allowBlank="1" showInputMessage="1" showErrorMessage="1" sqref="N7:N39" xr:uid="{CBFD9E8D-B398-4B2A-B6CF-8EA2C780EE14}">
      <formula1>"照明配电箱,动力配电箱,控制配电箱,电表箱,其它箱,动力柜,低压固定柜,低压抽屉柜,高压柜"</formula1>
    </dataValidation>
  </dataValidations>
  <pageMargins left="0.7" right="0.7" top="0.75" bottom="0.75" header="0.3" footer="0.3"/>
  <customProperties>
    <customPr name="SCMID" r:id="rId1"/>
  </customPropertie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2</vt:i4>
      </vt:variant>
      <vt:variant>
        <vt:lpstr>命名范围</vt:lpstr>
      </vt:variant>
      <vt:variant>
        <vt:i4>4</vt:i4>
      </vt:variant>
    </vt:vector>
  </HeadingPairs>
  <TitlesOfParts>
    <vt:vector size="6" baseType="lpstr">
      <vt:lpstr>项目信息</vt:lpstr>
      <vt:lpstr>分类1</vt:lpstr>
      <vt:lpstr>Cab_Det_1</vt:lpstr>
      <vt:lpstr>Cab_Subsum_1</vt:lpstr>
      <vt:lpstr>Cab_Sum_1</vt:lpstr>
      <vt:lpstr>Cab_Tolsum_1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zxllql</dc:creator>
  <cp:lastModifiedBy>鑫 吴</cp:lastModifiedBy>
  <dcterms:created xsi:type="dcterms:W3CDTF">2016-07-08T03:08:07Z</dcterms:created>
  <dcterms:modified xsi:type="dcterms:W3CDTF">2026-08-14T02:09:51Z</dcterms:modified>
</cp:coreProperties>
</file>