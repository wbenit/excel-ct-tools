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ustomProperty5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ce\excel-ct-tools\bin\Debug\net48\Resources\"/>
    </mc:Choice>
  </mc:AlternateContent>
  <xr:revisionPtr revIDLastSave="0" documentId="13_ncr:1_{56F3014A-9307-4809-B791-FC1A3DFF3624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领料清单" sheetId="5" r:id="rId1"/>
    <sheet name="项目信息" sheetId="1" r:id="rId2"/>
    <sheet name="分类1" sheetId="4" r:id="rId3"/>
    <sheet name="采购清单" sheetId="6" r:id="rId4"/>
    <sheet name="人工清单" sheetId="7" r:id="rId5"/>
    <sheet name="成品交接单" sheetId="8" r:id="rId6"/>
  </sheets>
  <externalReferences>
    <externalReference r:id="rId7"/>
  </externalReferences>
  <definedNames>
    <definedName name="Cab_Det_1" localSheetId="2">分类1!$A$44</definedName>
    <definedName name="Cab_Det_1">分类1!$A$44</definedName>
    <definedName name="Cab_Subsum_1" localSheetId="2">分类1!$A$64</definedName>
    <definedName name="Cab_Subsum_1">分类1!$A$66</definedName>
    <definedName name="Cab_Sum_1" localSheetId="2">分类1!$A$7</definedName>
    <definedName name="Cab_Sum_1">分类1!$A$7</definedName>
    <definedName name="Cab_Tolsum_1" localSheetId="2">分类1!$A$71</definedName>
    <definedName name="Cab_Tolsum_1">分类1!$A$71</definedName>
    <definedName name="_xlnm.Print_Area" localSheetId="0">领料清单!$A$1:$L$15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A46" i="4"/>
  <c r="E46" i="4"/>
  <c r="F46" i="4"/>
  <c r="G46" i="4"/>
  <c r="H46" i="4"/>
  <c r="J46" i="4"/>
  <c r="K46" i="4"/>
  <c r="L46" i="4"/>
  <c r="N46" i="4"/>
  <c r="Q46" i="4"/>
  <c r="A47" i="4"/>
  <c r="E47" i="4"/>
  <c r="F47" i="4"/>
  <c r="G47" i="4"/>
  <c r="H47" i="4"/>
  <c r="J47" i="4"/>
  <c r="K47" i="4"/>
  <c r="L47" i="4"/>
  <c r="N47" i="4"/>
  <c r="Q47" i="4"/>
  <c r="A48" i="4"/>
  <c r="E48" i="4"/>
  <c r="F48" i="4"/>
  <c r="G48" i="4"/>
  <c r="H48" i="4"/>
  <c r="J48" i="4"/>
  <c r="K48" i="4"/>
  <c r="L48" i="4"/>
  <c r="N48" i="4"/>
  <c r="Q48" i="4"/>
  <c r="A49" i="4"/>
  <c r="E49" i="4"/>
  <c r="F49" i="4"/>
  <c r="G49" i="4"/>
  <c r="H49" i="4"/>
  <c r="J49" i="4"/>
  <c r="K49" i="4"/>
  <c r="L49" i="4"/>
  <c r="N49" i="4"/>
  <c r="Q49" i="4"/>
  <c r="A50" i="4"/>
  <c r="E50" i="4"/>
  <c r="F50" i="4"/>
  <c r="G50" i="4"/>
  <c r="H50" i="4"/>
  <c r="J50" i="4"/>
  <c r="K50" i="4"/>
  <c r="L50" i="4"/>
  <c r="N50" i="4"/>
  <c r="Q50" i="4"/>
  <c r="A51" i="4"/>
  <c r="E51" i="4"/>
  <c r="F51" i="4"/>
  <c r="G51" i="4"/>
  <c r="H51" i="4"/>
  <c r="J51" i="4"/>
  <c r="K51" i="4"/>
  <c r="L51" i="4"/>
  <c r="N51" i="4"/>
  <c r="Q51" i="4"/>
  <c r="A52" i="4"/>
  <c r="E52" i="4"/>
  <c r="F52" i="4"/>
  <c r="G52" i="4"/>
  <c r="H52" i="4"/>
  <c r="J52" i="4"/>
  <c r="K52" i="4"/>
  <c r="L52" i="4"/>
  <c r="N52" i="4"/>
  <c r="Q52" i="4"/>
  <c r="A53" i="4"/>
  <c r="E53" i="4"/>
  <c r="F53" i="4"/>
  <c r="G53" i="4"/>
  <c r="H53" i="4"/>
  <c r="J53" i="4"/>
  <c r="K53" i="4"/>
  <c r="L53" i="4"/>
  <c r="N53" i="4"/>
  <c r="Q53" i="4"/>
  <c r="A54" i="4"/>
  <c r="E54" i="4"/>
  <c r="F54" i="4"/>
  <c r="G54" i="4"/>
  <c r="H54" i="4"/>
  <c r="J54" i="4"/>
  <c r="K54" i="4"/>
  <c r="L54" i="4"/>
  <c r="N54" i="4"/>
  <c r="Q54" i="4"/>
  <c r="A55" i="4"/>
  <c r="E55" i="4"/>
  <c r="F55" i="4"/>
  <c r="G55" i="4"/>
  <c r="H55" i="4"/>
  <c r="J55" i="4"/>
  <c r="K55" i="4"/>
  <c r="L55" i="4"/>
  <c r="N55" i="4"/>
  <c r="Q55" i="4"/>
  <c r="A56" i="4"/>
  <c r="E56" i="4"/>
  <c r="F56" i="4"/>
  <c r="G56" i="4"/>
  <c r="H56" i="4"/>
  <c r="J56" i="4"/>
  <c r="K56" i="4"/>
  <c r="L56" i="4"/>
  <c r="N56" i="4"/>
  <c r="Q56" i="4"/>
  <c r="A57" i="4"/>
  <c r="E57" i="4"/>
  <c r="F57" i="4"/>
  <c r="G57" i="4"/>
  <c r="H57" i="4"/>
  <c r="J57" i="4"/>
  <c r="K57" i="4"/>
  <c r="L57" i="4"/>
  <c r="N57" i="4"/>
  <c r="Q57" i="4"/>
  <c r="A58" i="4"/>
  <c r="E58" i="4"/>
  <c r="F58" i="4"/>
  <c r="G58" i="4"/>
  <c r="H58" i="4"/>
  <c r="J58" i="4"/>
  <c r="K58" i="4"/>
  <c r="L58" i="4"/>
  <c r="N58" i="4"/>
  <c r="Q58" i="4"/>
  <c r="A59" i="4"/>
  <c r="E59" i="4"/>
  <c r="F59" i="4"/>
  <c r="G59" i="4"/>
  <c r="H59" i="4"/>
  <c r="J59" i="4"/>
  <c r="K59" i="4"/>
  <c r="L59" i="4"/>
  <c r="N59" i="4"/>
  <c r="Q59" i="4"/>
  <c r="A60" i="4"/>
  <c r="E60" i="4"/>
  <c r="F60" i="4"/>
  <c r="G60" i="4"/>
  <c r="H60" i="4"/>
  <c r="J60" i="4"/>
  <c r="K60" i="4"/>
  <c r="L60" i="4"/>
  <c r="N60" i="4"/>
  <c r="Q60" i="4"/>
  <c r="A61" i="4"/>
  <c r="E61" i="4"/>
  <c r="F61" i="4"/>
  <c r="G61" i="4"/>
  <c r="H61" i="4"/>
  <c r="J61" i="4"/>
  <c r="K61" i="4"/>
  <c r="L61" i="4"/>
  <c r="N61" i="4"/>
  <c r="Q61" i="4"/>
  <c r="A62" i="4"/>
  <c r="E62" i="4"/>
  <c r="F62" i="4"/>
  <c r="G62" i="4"/>
  <c r="H62" i="4"/>
  <c r="J62" i="4"/>
  <c r="K62" i="4"/>
  <c r="L62" i="4"/>
  <c r="N62" i="4"/>
  <c r="Q62" i="4"/>
  <c r="A63" i="4"/>
  <c r="E63" i="4"/>
  <c r="F63" i="4"/>
  <c r="G63" i="4"/>
  <c r="H63" i="4"/>
  <c r="J63" i="4"/>
  <c r="K63" i="4"/>
  <c r="L63" i="4"/>
  <c r="N63" i="4"/>
  <c r="Q63" i="4"/>
  <c r="G64" i="4"/>
  <c r="H64" i="4" s="1"/>
  <c r="H66" i="4" s="1"/>
  <c r="K64" i="4"/>
  <c r="G65" i="4"/>
  <c r="H65" i="4" s="1"/>
  <c r="K65" i="4"/>
  <c r="K66" i="4"/>
  <c r="K70" i="4" s="1"/>
  <c r="K71" i="4" s="1"/>
  <c r="J7" i="4" s="1"/>
  <c r="K67" i="4"/>
  <c r="F71" i="4"/>
  <c r="T66" i="4"/>
  <c r="H13" i="8"/>
  <c r="D13" i="8"/>
  <c r="A5" i="8"/>
  <c r="G13" i="7"/>
  <c r="A14" i="7"/>
  <c r="D13" i="7"/>
  <c r="B29" i="1"/>
  <c r="H29" i="1" s="1"/>
  <c r="A19" i="4"/>
  <c r="S66" i="4"/>
  <c r="M67" i="4" s="1"/>
  <c r="G67" i="4" s="1"/>
  <c r="H67" i="4" s="1"/>
  <c r="F31" i="4"/>
  <c r="H32" i="4"/>
  <c r="J32" i="4"/>
  <c r="H33" i="4"/>
  <c r="J33" i="4"/>
  <c r="H34" i="4"/>
  <c r="J34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8" i="4"/>
  <c r="A17" i="4"/>
  <c r="A16" i="4"/>
  <c r="A15" i="4"/>
  <c r="A14" i="4"/>
  <c r="A13" i="4"/>
  <c r="A12" i="4"/>
  <c r="A11" i="4"/>
  <c r="A10" i="4"/>
  <c r="A9" i="4"/>
  <c r="A8" i="4"/>
  <c r="A1" i="1"/>
  <c r="A2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2" i="4"/>
  <c r="A42" i="4"/>
  <c r="A5" i="4" a="1"/>
  <c r="A41" i="4"/>
  <c r="B74" i="4" a="1"/>
  <c r="H5" i="4"/>
  <c r="B40" i="4" a="1"/>
  <c r="H74" i="4" a="1"/>
  <c r="A3" i="4"/>
  <c r="F35" i="4"/>
  <c r="H40" i="4" a="1"/>
  <c r="H68" i="4" l="1"/>
  <c r="H69" i="4"/>
  <c r="H70" i="4" s="1"/>
  <c r="G71" i="4" s="1"/>
  <c r="J31" i="4"/>
  <c r="J35" i="4" s="1"/>
  <c r="E29" i="1" s="1"/>
  <c r="E53" i="1" s="1"/>
  <c r="B40" i="4"/>
  <c r="A5" i="4"/>
  <c r="H40" i="4"/>
  <c r="H74" i="4"/>
  <c r="B74" i="4"/>
  <c r="H53" i="1"/>
  <c r="C29" i="1"/>
  <c r="C53" i="1" s="1"/>
  <c r="H71" i="4" l="1"/>
  <c r="G7" i="4"/>
  <c r="H7" i="4" s="1"/>
  <c r="L7" i="4" l="1"/>
  <c r="K7" i="4"/>
  <c r="H31" i="4"/>
  <c r="G35" i="4" s="1"/>
  <c r="H35" i="4" s="1"/>
  <c r="D29" i="1" s="1"/>
  <c r="G29" i="1" s="1"/>
  <c r="K31" i="4"/>
  <c r="K35" i="4" s="1"/>
  <c r="D53" i="1" l="1"/>
  <c r="G53" i="1" s="1"/>
  <c r="F29" i="1"/>
  <c r="F53" i="1" s="1"/>
  <c r="C35" i="4"/>
  <c r="L35" i="4"/>
  <c r="D55" i="1" l="1"/>
  <c r="C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<sst xmlns="http://schemas.openxmlformats.org/spreadsheetml/2006/main" count="368" uniqueCount="172">
  <si>
    <t>序号</t>
    <phoneticPr fontId="6" type="noConversion"/>
  </si>
  <si>
    <t>总   价</t>
    <phoneticPr fontId="6" type="noConversion"/>
  </si>
  <si>
    <t>毛利</t>
    <phoneticPr fontId="6" type="noConversion"/>
  </si>
  <si>
    <t>毛利率</t>
    <phoneticPr fontId="6" type="noConversion"/>
  </si>
  <si>
    <r>
      <rPr>
        <sz val="11"/>
        <color indexed="8"/>
        <rFont val="宋体"/>
        <family val="3"/>
        <charset val="134"/>
      </rPr>
      <t>小计</t>
    </r>
    <phoneticPr fontId="6" type="noConversion"/>
  </si>
  <si>
    <t>工程信息</t>
  </si>
  <si>
    <t>项目名称</t>
  </si>
  <si>
    <t>项目编号</t>
  </si>
  <si>
    <t/>
  </si>
  <si>
    <t>描述</t>
  </si>
  <si>
    <t>报价交期</t>
  </si>
  <si>
    <t>报价单号</t>
  </si>
  <si>
    <t>创建日期</t>
  </si>
  <si>
    <t>报价审核人</t>
  </si>
  <si>
    <t>项目负责人</t>
  </si>
  <si>
    <t>项目备注</t>
  </si>
  <si>
    <t>客户信息</t>
  </si>
  <si>
    <t>客户名称</t>
  </si>
  <si>
    <t>联系人</t>
  </si>
  <si>
    <t>联系电话</t>
  </si>
  <si>
    <t>客户地址</t>
  </si>
  <si>
    <t>客户邮编</t>
  </si>
  <si>
    <t>客户网址</t>
  </si>
  <si>
    <t>客户email</t>
  </si>
  <si>
    <t>本企业信息</t>
  </si>
  <si>
    <t>单位名称</t>
  </si>
  <si>
    <t>英文名称</t>
  </si>
  <si>
    <t>销售地区</t>
  </si>
  <si>
    <t xml:space="preserve">                          分类汇总                       金额单位：人民币元</t>
  </si>
  <si>
    <t>序号</t>
  </si>
  <si>
    <t>分类名称</t>
  </si>
  <si>
    <t>箱柜数量</t>
  </si>
  <si>
    <t>总   价</t>
  </si>
  <si>
    <t>成本</t>
  </si>
  <si>
    <t>毛利</t>
  </si>
  <si>
    <t>毛利率</t>
  </si>
  <si>
    <t>分类属性</t>
  </si>
  <si>
    <t>小计</t>
  </si>
  <si>
    <t>运费</t>
  </si>
  <si>
    <t>合计</t>
  </si>
  <si>
    <t>人民币大写</t>
  </si>
  <si>
    <t>报表说明</t>
  </si>
  <si>
    <r>
      <t xml:space="preserve">     成套产品报价清单                          </t>
    </r>
    <r>
      <rPr>
        <b/>
        <sz val="10"/>
        <color indexed="8"/>
        <rFont val="宋体"/>
        <family val="3"/>
        <charset val="134"/>
      </rPr>
      <t>金额单位：人民币元</t>
    </r>
    <phoneticPr fontId="6" type="noConversion"/>
  </si>
  <si>
    <t>柜号</t>
    <phoneticPr fontId="6" type="noConversion"/>
  </si>
  <si>
    <t>箱柜名称</t>
    <phoneticPr fontId="6" type="noConversion"/>
  </si>
  <si>
    <t>箱柜型号</t>
    <phoneticPr fontId="6" type="noConversion"/>
  </si>
  <si>
    <t>单位</t>
    <phoneticPr fontId="6" type="noConversion"/>
  </si>
  <si>
    <t>数量</t>
    <phoneticPr fontId="6" type="noConversion"/>
  </si>
  <si>
    <t>单  价</t>
    <phoneticPr fontId="6" type="noConversion"/>
  </si>
  <si>
    <t>备注</t>
    <phoneticPr fontId="6" type="noConversion"/>
  </si>
  <si>
    <t>成本总价</t>
    <phoneticPr fontId="6" type="noConversion"/>
  </si>
  <si>
    <t>箱柜尺寸</t>
    <phoneticPr fontId="6" type="noConversion"/>
  </si>
  <si>
    <t>类别</t>
    <phoneticPr fontId="6" type="noConversion"/>
  </si>
  <si>
    <t>预留</t>
    <phoneticPr fontId="6" type="noConversion"/>
  </si>
  <si>
    <t>图号</t>
    <phoneticPr fontId="6" type="noConversion"/>
  </si>
  <si>
    <r>
      <rPr>
        <sz val="11"/>
        <color indexed="8"/>
        <rFont val="宋体"/>
        <family val="3"/>
        <charset val="134"/>
      </rPr>
      <t>台</t>
    </r>
    <phoneticPr fontId="6" type="noConversion"/>
  </si>
  <si>
    <r>
      <rPr>
        <sz val="11"/>
        <color indexed="8"/>
        <rFont val="宋体"/>
        <family val="3"/>
        <charset val="134"/>
      </rPr>
      <t>包装费</t>
    </r>
    <phoneticPr fontId="6" type="noConversion"/>
  </si>
  <si>
    <r>
      <rPr>
        <sz val="11"/>
        <color indexed="8"/>
        <rFont val="宋体"/>
        <family val="3"/>
        <charset val="134"/>
      </rPr>
      <t>运输费</t>
    </r>
    <phoneticPr fontId="6" type="noConversion"/>
  </si>
  <si>
    <r>
      <rPr>
        <sz val="11"/>
        <color indexed="8"/>
        <rFont val="宋体"/>
        <family val="3"/>
        <charset val="134"/>
      </rPr>
      <t>套</t>
    </r>
    <phoneticPr fontId="6" type="noConversion"/>
  </si>
  <si>
    <r>
      <rPr>
        <sz val="11"/>
        <color indexed="8"/>
        <rFont val="宋体"/>
        <family val="3"/>
        <charset val="134"/>
      </rPr>
      <t>运载工具车</t>
    </r>
    <phoneticPr fontId="6" type="noConversion"/>
  </si>
  <si>
    <r>
      <t>合计(</t>
    </r>
    <r>
      <rPr>
        <sz val="9"/>
        <color indexed="8"/>
        <rFont val="宋体"/>
        <family val="3"/>
        <charset val="134"/>
      </rPr>
      <t>人民币大写</t>
    </r>
    <r>
      <rPr>
        <sz val="9"/>
        <rFont val="宋体"/>
        <family val="3"/>
        <charset val="134"/>
      </rPr>
      <t>)</t>
    </r>
    <phoneticPr fontId="6" type="noConversion"/>
  </si>
  <si>
    <t>说明</t>
    <phoneticPr fontId="6" type="noConversion"/>
  </si>
  <si>
    <t>生产厂家</t>
  </si>
  <si>
    <t>台</t>
  </si>
  <si>
    <t>成套产品报价明细表</t>
  </si>
  <si>
    <t>型号:</t>
  </si>
  <si>
    <t>名称:</t>
  </si>
  <si>
    <t>箱柜尺寸:</t>
  </si>
  <si>
    <t>类别:</t>
  </si>
  <si>
    <t>元件名称</t>
  </si>
  <si>
    <t>型号规格</t>
  </si>
  <si>
    <t>单位</t>
  </si>
  <si>
    <t>数量</t>
  </si>
  <si>
    <t>单   价</t>
  </si>
  <si>
    <t>备注</t>
  </si>
  <si>
    <t>成本单价</t>
  </si>
  <si>
    <t>成本总价</t>
  </si>
  <si>
    <t>报出
系数</t>
  </si>
  <si>
    <t>表价</t>
  </si>
  <si>
    <t>折扣
系数</t>
  </si>
  <si>
    <t>取费
系数</t>
  </si>
  <si>
    <t>成套费</t>
  </si>
  <si>
    <t>类别</t>
  </si>
  <si>
    <t>加工费</t>
  </si>
  <si>
    <t>人工</t>
  </si>
  <si>
    <t>辅料</t>
  </si>
  <si>
    <t>单台合计</t>
  </si>
  <si>
    <t>总计</t>
  </si>
  <si>
    <t>人工费</t>
  </si>
  <si>
    <t>费用</t>
  </si>
  <si>
    <t>税金</t>
  </si>
  <si>
    <t>柜号：</t>
    <phoneticPr fontId="1" type="noConversion"/>
  </si>
  <si>
    <t>报价人</t>
    <phoneticPr fontId="1" type="noConversion"/>
  </si>
  <si>
    <t>李四</t>
    <phoneticPr fontId="1" type="noConversion"/>
  </si>
  <si>
    <t>扬州华科</t>
    <phoneticPr fontId="1" type="noConversion"/>
  </si>
  <si>
    <t>箱柜1</t>
    <phoneticPr fontId="1" type="noConversion"/>
  </si>
  <si>
    <t>台</t>
    <phoneticPr fontId="1" type="noConversion"/>
  </si>
  <si>
    <t>成套设备装配领料单</t>
    <phoneticPr fontId="15" type="noConversion"/>
  </si>
  <si>
    <r>
      <t>工程名称 ：</t>
    </r>
    <r>
      <rPr>
        <b/>
        <u/>
        <sz val="11"/>
        <color theme="1"/>
        <rFont val="宋体"/>
        <family val="3"/>
        <charset val="134"/>
        <scheme val="minor"/>
      </rPr>
      <t xml:space="preserve"> [项目名称]</t>
    </r>
    <r>
      <rPr>
        <b/>
        <sz val="11"/>
        <color theme="1"/>
        <rFont val="宋体"/>
        <family val="3"/>
        <charset val="134"/>
        <scheme val="minor"/>
      </rPr>
      <t xml:space="preserve">              </t>
    </r>
    <phoneticPr fontId="15" type="noConversion"/>
  </si>
  <si>
    <r>
      <t>队组名称 ：</t>
    </r>
    <r>
      <rPr>
        <b/>
        <u/>
        <sz val="11"/>
        <color theme="1"/>
        <rFont val="宋体"/>
        <family val="3"/>
        <charset val="134"/>
        <scheme val="minor"/>
      </rPr>
      <t xml:space="preserve"> ***  </t>
    </r>
    <r>
      <rPr>
        <b/>
        <sz val="11"/>
        <color theme="1"/>
        <rFont val="宋体"/>
        <family val="3"/>
        <charset val="134"/>
        <scheme val="minor"/>
      </rPr>
      <t xml:space="preserve">              </t>
    </r>
    <phoneticPr fontId="15" type="noConversion"/>
  </si>
  <si>
    <t>制表日期：</t>
    <phoneticPr fontId="15" type="noConversion"/>
  </si>
  <si>
    <t>名称</t>
    <phoneticPr fontId="15" type="noConversion"/>
  </si>
  <si>
    <t>型    号</t>
  </si>
  <si>
    <t>单位</t>
    <phoneticPr fontId="15" type="noConversion"/>
  </si>
  <si>
    <t>数量</t>
    <phoneticPr fontId="15" type="noConversion"/>
  </si>
  <si>
    <t>生产厂家</t>
    <phoneticPr fontId="15" type="noConversion"/>
  </si>
  <si>
    <t>领料人</t>
    <phoneticPr fontId="15" type="noConversion"/>
  </si>
  <si>
    <t>备注</t>
    <phoneticPr fontId="15" type="noConversion"/>
  </si>
  <si>
    <t>签字</t>
    <phoneticPr fontId="15" type="noConversion"/>
  </si>
  <si>
    <t>[元器件名称]</t>
    <phoneticPr fontId="15" type="noConversion"/>
  </si>
  <si>
    <t>[元器件型号]</t>
    <phoneticPr fontId="15" type="noConversion"/>
  </si>
  <si>
    <t>[单位]</t>
    <phoneticPr fontId="15" type="noConversion"/>
  </si>
  <si>
    <t>[数量]</t>
  </si>
  <si>
    <t>[库存标记]</t>
    <phoneticPr fontId="15" type="noConversion"/>
  </si>
  <si>
    <t>合计</t>
    <phoneticPr fontId="15" type="noConversion"/>
  </si>
  <si>
    <r>
      <t>编制人：</t>
    </r>
    <r>
      <rPr>
        <b/>
        <sz val="11"/>
        <color theme="1"/>
        <rFont val="宋体"/>
        <family val="2"/>
        <scheme val="minor"/>
      </rPr>
      <t xml:space="preserve">         编制复核人：          发货人</t>
    </r>
    <r>
      <rPr>
        <b/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2"/>
        <scheme val="minor"/>
      </rPr>
      <t xml:space="preserve">           发货复核人：           装配队组负责人</t>
    </r>
    <r>
      <rPr>
        <b/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2"/>
        <scheme val="minor"/>
      </rPr>
      <t xml:space="preserve">           </t>
    </r>
    <phoneticPr fontId="1" type="noConversion"/>
  </si>
  <si>
    <t xml:space="preserve"> </t>
    <phoneticPr fontId="15" type="noConversion"/>
  </si>
  <si>
    <t>[公司名称]</t>
    <phoneticPr fontId="1" type="noConversion"/>
  </si>
  <si>
    <t>名称</t>
    <phoneticPr fontId="6" type="noConversion"/>
  </si>
  <si>
    <t>型号规格</t>
    <phoneticPr fontId="6" type="noConversion"/>
  </si>
  <si>
    <t>单数</t>
    <phoneticPr fontId="6" type="noConversion"/>
  </si>
  <si>
    <t>要求到货时间</t>
    <phoneticPr fontId="6" type="noConversion"/>
  </si>
  <si>
    <t>合同到货时间</t>
    <phoneticPr fontId="6" type="noConversion"/>
  </si>
  <si>
    <t>实际到货时间</t>
    <phoneticPr fontId="6" type="noConversion"/>
  </si>
  <si>
    <r>
      <rPr>
        <b/>
        <sz val="24"/>
        <rFont val="Microsoft YaHei UI"/>
        <family val="3"/>
        <charset val="134"/>
      </rPr>
      <t>采  购</t>
    </r>
    <r>
      <rPr>
        <b/>
        <sz val="24"/>
        <rFont val="楷体_GB2312"/>
        <family val="3"/>
        <charset val="134"/>
      </rPr>
      <t xml:space="preserve"> 清 单</t>
    </r>
    <phoneticPr fontId="6" type="noConversion"/>
  </si>
  <si>
    <t>[公司名称]</t>
    <phoneticPr fontId="6" type="noConversion"/>
  </si>
  <si>
    <t>项目名称：[项目名称]</t>
    <phoneticPr fontId="6" type="noConversion"/>
  </si>
  <si>
    <t>[元器件名称]</t>
    <phoneticPr fontId="1" type="noConversion"/>
  </si>
  <si>
    <t>[型号]</t>
    <phoneticPr fontId="1" type="noConversion"/>
  </si>
  <si>
    <t>[单位]</t>
    <phoneticPr fontId="1" type="noConversion"/>
  </si>
  <si>
    <t>[数量]</t>
    <phoneticPr fontId="1" type="noConversion"/>
  </si>
  <si>
    <t>[品牌]</t>
    <phoneticPr fontId="1" type="noConversion"/>
  </si>
  <si>
    <t>附件1：</t>
  </si>
  <si>
    <t>人 工 清 单</t>
    <phoneticPr fontId="6" type="noConversion"/>
  </si>
  <si>
    <t>队组：金旭彬/陈谦胜</t>
    <phoneticPr fontId="6" type="noConversion"/>
  </si>
  <si>
    <t>型    号</t>
    <phoneticPr fontId="6" type="noConversion"/>
  </si>
  <si>
    <t>单价（元）</t>
    <phoneticPr fontId="6" type="noConversion"/>
  </si>
  <si>
    <t>金额（元）</t>
    <phoneticPr fontId="6" type="noConversion"/>
  </si>
  <si>
    <t>配电箱</t>
    <phoneticPr fontId="1" type="noConversion"/>
  </si>
  <si>
    <t>合计</t>
    <phoneticPr fontId="6" type="noConversion"/>
  </si>
  <si>
    <t>台</t>
    <phoneticPr fontId="6" type="noConversion"/>
  </si>
  <si>
    <t xml:space="preserve">   审核:                                 编制:                      日期:     年  月  日</t>
  </si>
  <si>
    <t>成品交接单</t>
    <phoneticPr fontId="6" type="noConversion"/>
  </si>
  <si>
    <t>单位名称：扬建集团机电分公司</t>
    <phoneticPr fontId="6" type="noConversion"/>
  </si>
  <si>
    <t>队组：                调试人：              产成品入库：               日期：      年  月  日</t>
    <phoneticPr fontId="1" type="noConversion"/>
  </si>
  <si>
    <t>项目名称：[[项目名称]]</t>
    <phoneticPr fontId="1" type="noConversion"/>
  </si>
  <si>
    <t>[箱柜序号]</t>
    <phoneticPr fontId="1" type="noConversion"/>
  </si>
  <si>
    <t>[箱柜名称]</t>
    <phoneticPr fontId="1" type="noConversion"/>
  </si>
  <si>
    <t>[柜号]</t>
    <phoneticPr fontId="1" type="noConversion"/>
  </si>
  <si>
    <t>[人工费]</t>
    <phoneticPr fontId="1" type="noConversion"/>
  </si>
  <si>
    <t>电流</t>
    <phoneticPr fontId="1" type="noConversion"/>
  </si>
  <si>
    <t>防护等级</t>
    <phoneticPr fontId="6" type="noConversion"/>
  </si>
  <si>
    <t>箱柜型号</t>
    <phoneticPr fontId="1" type="noConversion"/>
  </si>
  <si>
    <t>[箱柜型号]</t>
    <phoneticPr fontId="1" type="noConversion"/>
  </si>
  <si>
    <t>[首行电流]</t>
    <phoneticPr fontId="1" type="noConversion"/>
  </si>
  <si>
    <t>[分类名称]</t>
    <phoneticPr fontId="1" type="noConversion"/>
  </si>
  <si>
    <r>
      <rPr>
        <b/>
        <sz val="24"/>
        <rFont val="Calibri"/>
        <family val="3"/>
      </rPr>
      <t>[</t>
    </r>
    <r>
      <rPr>
        <b/>
        <sz val="24"/>
        <rFont val="宋体"/>
        <family val="3"/>
        <charset val="134"/>
      </rPr>
      <t>公司名称</t>
    </r>
    <r>
      <rPr>
        <b/>
        <sz val="24"/>
        <rFont val="Calibri"/>
        <family val="3"/>
      </rPr>
      <t>]</t>
    </r>
    <phoneticPr fontId="6" type="noConversion"/>
  </si>
  <si>
    <t>极数</t>
    <phoneticPr fontId="1" type="noConversion"/>
  </si>
  <si>
    <t>脱扣</t>
    <phoneticPr fontId="1" type="noConversion"/>
  </si>
  <si>
    <t>附件</t>
    <phoneticPr fontId="1" type="noConversion"/>
  </si>
  <si>
    <t>参数1</t>
    <phoneticPr fontId="1" type="noConversion"/>
  </si>
  <si>
    <t>参数2</t>
    <phoneticPr fontId="1" type="noConversion"/>
  </si>
  <si>
    <t>[3]</t>
  </si>
  <si>
    <t>[4]</t>
  </si>
  <si>
    <t>[5]</t>
  </si>
  <si>
    <t>综合成套费</t>
  </si>
  <si>
    <t>[6]</t>
  </si>
  <si>
    <t>[7]</t>
  </si>
  <si>
    <t>[1]</t>
  </si>
  <si>
    <t>辅材</t>
  </si>
  <si>
    <t>[2]</t>
  </si>
  <si>
    <t>箱体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</si>
</sst>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176" formatCode="0.00_ ;[Red]\-0.00\ "/>
    <numFmt numFmtId="177" formatCode="0.00_);[Red]\-0.00_)"/>
    <numFmt numFmtId="178" formatCode="0_);[Red]\(0\)"/>
    <numFmt numFmtId="179" formatCode="0_ ;[Red]\-0\ "/>
    <numFmt numFmtId="180" formatCode="&quot;备注:&quot;@"/>
    <numFmt numFmtId="181" formatCode="&quot;图号:&quot;@"/>
    <numFmt numFmtId="182" formatCode="0.00_);[Red]\(0.00\)"/>
    <numFmt numFmtId="183" formatCode="m&quot;月&quot;d&quot;日&quot;;@"/>
    <numFmt numFmtId="184" formatCode="0.0%"/>
    <numFmt numFmtId="185" formatCode="0.00_ "/>
  </numFmts>
  <fonts count="4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indexed="8"/>
      <name val="宋体"/>
      <family val="3"/>
      <charset val="134"/>
      <scheme val="minor"/>
    </font>
    <font>
      <b/>
      <sz val="12"/>
      <color indexed="8"/>
      <name val="Arial"/>
      <family val="2"/>
    </font>
    <font>
      <b/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b/>
      <sz val="10"/>
      <color indexed="8"/>
      <name val="宋体"/>
      <family val="3"/>
      <charset val="134"/>
    </font>
    <font>
      <b/>
      <sz val="11"/>
      <color theme="0" tint="-0.1499984740745262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b/>
      <sz val="9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14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"/>
      <name val="宋体"/>
      <family val="3"/>
      <charset val="134"/>
      <scheme val="minor"/>
    </font>
    <font>
      <sz val="9"/>
      <name val="Consolas"/>
      <family val="3"/>
    </font>
    <font>
      <sz val="11"/>
      <color theme="1"/>
      <name val="宋体"/>
      <family val="2"/>
      <scheme val="minor"/>
    </font>
    <font>
      <b/>
      <sz val="16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22"/>
      <name val="楷体_GB2312"/>
      <family val="3"/>
      <charset val="134"/>
    </font>
    <font>
      <sz val="1"/>
      <name val="宋体"/>
      <family val="3"/>
      <charset val="134"/>
    </font>
    <font>
      <b/>
      <sz val="24"/>
      <name val="楷体_GB2312"/>
      <family val="3"/>
      <charset val="134"/>
    </font>
    <font>
      <b/>
      <sz val="6"/>
      <name val="楷体_GB2312"/>
      <family val="3"/>
      <charset val="134"/>
    </font>
    <font>
      <b/>
      <sz val="12"/>
      <name val="宋体"/>
      <family val="3"/>
      <charset val="134"/>
    </font>
    <font>
      <b/>
      <sz val="1"/>
      <name val="宋体"/>
      <family val="3"/>
      <charset val="134"/>
    </font>
    <font>
      <b/>
      <sz val="24"/>
      <name val="Microsoft YaHei UI"/>
      <family val="3"/>
      <charset val="134"/>
    </font>
    <font>
      <b/>
      <sz val="22"/>
      <name val="Microsoft YaHei UI"/>
      <family val="3"/>
      <charset val="134"/>
    </font>
    <font>
      <u/>
      <sz val="11"/>
      <color theme="10"/>
      <name val="宋体"/>
      <family val="3"/>
      <charset val="134"/>
    </font>
    <font>
      <sz val="12"/>
      <color rgb="FF000000"/>
      <name val="宋体"/>
      <family val="3"/>
      <charset val="134"/>
    </font>
    <font>
      <sz val="13"/>
      <name val=""/>
      <family val="1"/>
      <charset val="136"/>
    </font>
    <font>
      <sz val="14"/>
      <name val="宋体"/>
      <family val="3"/>
      <charset val="134"/>
    </font>
    <font>
      <b/>
      <sz val="24"/>
      <name val="Calibri"/>
      <family val="3"/>
    </font>
    <font>
      <b/>
      <sz val="24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EAEE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495ED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/>
    <xf numFmtId="0" fontId="31" fillId="0" borderId="0"/>
    <xf numFmtId="0" fontId="40" fillId="0" borderId="0" applyNumberFormat="0" applyFill="0" applyBorder="0" applyAlignment="0" applyProtection="0">
      <alignment vertical="top"/>
      <protection locked="0"/>
    </xf>
  </cellStyleXfs>
  <cellXfs count="3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" fontId="7" fillId="3" borderId="2" xfId="0" applyNumberFormat="1" applyFont="1" applyFill="1" applyBorder="1" applyAlignment="1">
      <alignment horizontal="right" vertical="center"/>
    </xf>
    <xf numFmtId="49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177" fontId="8" fillId="0" borderId="16" xfId="0" applyNumberFormat="1" applyFont="1" applyBorder="1" applyAlignment="1">
      <alignment vertical="center" wrapText="1"/>
    </xf>
    <xf numFmtId="176" fontId="5" fillId="5" borderId="13" xfId="0" applyNumberFormat="1" applyFont="1" applyFill="1" applyBorder="1" applyAlignment="1">
      <alignment horizontal="right" vertical="center" wrapText="1"/>
    </xf>
    <xf numFmtId="176" fontId="5" fillId="6" borderId="14" xfId="0" applyNumberFormat="1" applyFont="1" applyFill="1" applyBorder="1" applyAlignment="1">
      <alignment horizontal="right" vertical="center" wrapText="1"/>
    </xf>
    <xf numFmtId="10" fontId="5" fillId="7" borderId="14" xfId="0" applyNumberFormat="1" applyFont="1" applyFill="1" applyBorder="1" applyAlignment="1">
      <alignment horizontal="right" vertical="center" wrapText="1"/>
    </xf>
    <xf numFmtId="176" fontId="5" fillId="6" borderId="14" xfId="0" applyNumberFormat="1" applyFont="1" applyFill="1" applyBorder="1" applyAlignment="1">
      <alignment horizontal="center" vertical="center" wrapText="1"/>
    </xf>
    <xf numFmtId="1" fontId="8" fillId="0" borderId="17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177" fontId="8" fillId="0" borderId="20" xfId="0" applyNumberFormat="1" applyFont="1" applyBorder="1" applyAlignment="1">
      <alignment vertical="center" wrapText="1"/>
    </xf>
    <xf numFmtId="176" fontId="5" fillId="5" borderId="17" xfId="0" applyNumberFormat="1" applyFont="1" applyFill="1" applyBorder="1" applyAlignment="1">
      <alignment horizontal="right" vertical="center" wrapText="1"/>
    </xf>
    <xf numFmtId="176" fontId="5" fillId="6" borderId="18" xfId="0" applyNumberFormat="1" applyFont="1" applyFill="1" applyBorder="1" applyAlignment="1">
      <alignment horizontal="right" vertical="center" wrapText="1"/>
    </xf>
    <xf numFmtId="10" fontId="5" fillId="7" borderId="18" xfId="0" applyNumberFormat="1" applyFont="1" applyFill="1" applyBorder="1" applyAlignment="1">
      <alignment horizontal="right"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177" fontId="5" fillId="0" borderId="20" xfId="0" applyNumberFormat="1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177" fontId="8" fillId="0" borderId="20" xfId="0" applyNumberFormat="1" applyFont="1" applyBorder="1" applyAlignment="1">
      <alignment horizontal="right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77" fontId="5" fillId="0" borderId="20" xfId="0" applyNumberFormat="1" applyFont="1" applyBorder="1" applyAlignment="1">
      <alignment horizontal="right" vertical="center" wrapText="1"/>
    </xf>
    <xf numFmtId="176" fontId="5" fillId="6" borderId="18" xfId="0" applyNumberFormat="1" applyFont="1" applyFill="1" applyBorder="1" applyAlignment="1">
      <alignment horizontal="center" vertical="center" wrapText="1"/>
    </xf>
    <xf numFmtId="176" fontId="5" fillId="5" borderId="17" xfId="0" applyNumberFormat="1" applyFont="1" applyFill="1" applyBorder="1" applyAlignment="1">
      <alignment vertical="center" wrapText="1"/>
    </xf>
    <xf numFmtId="176" fontId="5" fillId="6" borderId="18" xfId="0" applyNumberFormat="1" applyFont="1" applyFill="1" applyBorder="1" applyAlignment="1">
      <alignment vertical="center" wrapText="1"/>
    </xf>
    <xf numFmtId="10" fontId="5" fillId="7" borderId="18" xfId="0" applyNumberFormat="1" applyFont="1" applyFill="1" applyBorder="1" applyAlignment="1">
      <alignment vertical="center" wrapText="1"/>
    </xf>
    <xf numFmtId="1" fontId="8" fillId="0" borderId="17" xfId="0" applyNumberFormat="1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8" fillId="0" borderId="19" xfId="0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right" vertical="center"/>
    </xf>
    <xf numFmtId="178" fontId="5" fillId="5" borderId="21" xfId="0" applyNumberFormat="1" applyFont="1" applyFill="1" applyBorder="1">
      <alignment vertical="center"/>
    </xf>
    <xf numFmtId="178" fontId="5" fillId="6" borderId="22" xfId="0" applyNumberFormat="1" applyFont="1" applyFill="1" applyBorder="1">
      <alignment vertical="center"/>
    </xf>
    <xf numFmtId="10" fontId="5" fillId="7" borderId="22" xfId="0" applyNumberFormat="1" applyFont="1" applyFill="1" applyBorder="1">
      <alignment vertical="center"/>
    </xf>
    <xf numFmtId="178" fontId="5" fillId="6" borderId="22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/>
    <xf numFmtId="1" fontId="0" fillId="0" borderId="0" xfId="0" applyNumberFormat="1" applyAlignment="1"/>
    <xf numFmtId="0" fontId="11" fillId="0" borderId="0" xfId="0" applyFon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0" xfId="0" applyNumberForma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14" fillId="3" borderId="2" xfId="0" applyNumberFormat="1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left" vertical="center"/>
    </xf>
    <xf numFmtId="10" fontId="5" fillId="7" borderId="18" xfId="0" applyNumberFormat="1" applyFont="1" applyFill="1" applyBorder="1" applyAlignment="1">
      <alignment horizontal="right" vertical="center"/>
    </xf>
    <xf numFmtId="49" fontId="5" fillId="6" borderId="19" xfId="0" applyNumberFormat="1" applyFont="1" applyFill="1" applyBorder="1" applyAlignment="1">
      <alignment horizontal="left" vertical="center"/>
    </xf>
    <xf numFmtId="49" fontId="5" fillId="6" borderId="18" xfId="0" applyNumberFormat="1" applyFont="1" applyFill="1" applyBorder="1" applyAlignment="1">
      <alignment horizontal="left" vertical="center"/>
    </xf>
    <xf numFmtId="0" fontId="5" fillId="3" borderId="18" xfId="0" applyFont="1" applyFill="1" applyBorder="1">
      <alignment vertical="center"/>
    </xf>
    <xf numFmtId="0" fontId="5" fillId="3" borderId="28" xfId="0" applyFont="1" applyFill="1" applyBorder="1">
      <alignment vertical="center"/>
    </xf>
    <xf numFmtId="49" fontId="5" fillId="6" borderId="20" xfId="0" applyNumberFormat="1" applyFont="1" applyFill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10" fontId="5" fillId="7" borderId="19" xfId="0" applyNumberFormat="1" applyFont="1" applyFill="1" applyBorder="1" applyAlignment="1">
      <alignment horizontal="right" vertical="center"/>
    </xf>
    <xf numFmtId="0" fontId="8" fillId="0" borderId="18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49" fontId="5" fillId="0" borderId="18" xfId="0" applyNumberFormat="1" applyFont="1" applyBorder="1" applyAlignment="1">
      <alignment horizontal="left"/>
    </xf>
    <xf numFmtId="49" fontId="8" fillId="0" borderId="18" xfId="0" applyNumberFormat="1" applyFont="1" applyBorder="1" applyAlignment="1">
      <alignment horizontal="left"/>
    </xf>
    <xf numFmtId="0" fontId="5" fillId="0" borderId="18" xfId="0" applyFont="1" applyBorder="1" applyAlignment="1">
      <alignment horizontal="center"/>
    </xf>
    <xf numFmtId="49" fontId="8" fillId="0" borderId="20" xfId="0" applyNumberFormat="1" applyFont="1" applyBorder="1" applyAlignment="1">
      <alignment horizontal="left"/>
    </xf>
    <xf numFmtId="1" fontId="5" fillId="0" borderId="18" xfId="0" applyNumberFormat="1" applyFont="1" applyBorder="1" applyAlignment="1">
      <alignment horizontal="left"/>
    </xf>
    <xf numFmtId="1" fontId="8" fillId="0" borderId="18" xfId="0" applyNumberFormat="1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178" fontId="5" fillId="6" borderId="19" xfId="0" applyNumberFormat="1" applyFont="1" applyFill="1" applyBorder="1" applyAlignment="1">
      <alignment horizontal="left" vertical="center"/>
    </xf>
    <xf numFmtId="178" fontId="5" fillId="6" borderId="18" xfId="0" applyNumberFormat="1" applyFont="1" applyFill="1" applyBorder="1" applyAlignment="1">
      <alignment horizontal="left" vertical="center"/>
    </xf>
    <xf numFmtId="178" fontId="5" fillId="6" borderId="20" xfId="0" applyNumberFormat="1" applyFont="1" applyFill="1" applyBorder="1" applyAlignment="1">
      <alignment horizontal="left" vertical="center"/>
    </xf>
    <xf numFmtId="5" fontId="8" fillId="0" borderId="20" xfId="0" applyNumberFormat="1" applyFont="1" applyBorder="1" applyAlignment="1">
      <alignment horizontal="left"/>
    </xf>
    <xf numFmtId="0" fontId="15" fillId="0" borderId="18" xfId="0" applyFont="1" applyBorder="1" applyAlignment="1">
      <alignment horizontal="left" shrinkToFit="1"/>
    </xf>
    <xf numFmtId="0" fontId="10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 shrinkToFit="1"/>
    </xf>
    <xf numFmtId="5" fontId="8" fillId="0" borderId="20" xfId="0" applyNumberFormat="1" applyFont="1" applyBorder="1" applyAlignment="1">
      <alignment horizontal="left" shrinkToFit="1"/>
    </xf>
    <xf numFmtId="10" fontId="5" fillId="7" borderId="22" xfId="0" applyNumberFormat="1" applyFont="1" applyFill="1" applyBorder="1" applyAlignment="1">
      <alignment horizontal="right" vertical="center" shrinkToFit="1"/>
    </xf>
    <xf numFmtId="179" fontId="5" fillId="6" borderId="26" xfId="0" applyNumberFormat="1" applyFont="1" applyFill="1" applyBorder="1" applyAlignment="1">
      <alignment horizontal="left" vertical="center"/>
    </xf>
    <xf numFmtId="179" fontId="5" fillId="6" borderId="22" xfId="0" applyNumberFormat="1" applyFont="1" applyFill="1" applyBorder="1" applyAlignment="1">
      <alignment horizontal="left" vertical="center"/>
    </xf>
    <xf numFmtId="0" fontId="5" fillId="3" borderId="25" xfId="0" applyFont="1" applyFill="1" applyBorder="1">
      <alignment vertical="center"/>
    </xf>
    <xf numFmtId="0" fontId="5" fillId="3" borderId="29" xfId="0" applyFont="1" applyFill="1" applyBorder="1">
      <alignment vertical="center"/>
    </xf>
    <xf numFmtId="179" fontId="5" fillId="6" borderId="27" xfId="0" applyNumberFormat="1" applyFont="1" applyFill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/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1" fontId="18" fillId="0" borderId="13" xfId="1" applyNumberFormat="1" applyBorder="1" applyAlignment="1">
      <alignment horizontal="center" vertical="center" wrapText="1"/>
    </xf>
    <xf numFmtId="177" fontId="8" fillId="0" borderId="14" xfId="0" applyNumberFormat="1" applyFont="1" applyBorder="1" applyAlignment="1">
      <alignment horizontal="right" vertical="center"/>
    </xf>
    <xf numFmtId="177" fontId="8" fillId="0" borderId="18" xfId="0" applyNumberFormat="1" applyFont="1" applyBorder="1" applyAlignment="1">
      <alignment horizontal="right" vertical="center"/>
    </xf>
    <xf numFmtId="177" fontId="5" fillId="0" borderId="18" xfId="0" applyNumberFormat="1" applyFont="1" applyBorder="1" applyAlignment="1">
      <alignment horizontal="right" vertical="center"/>
    </xf>
    <xf numFmtId="177" fontId="8" fillId="0" borderId="18" xfId="0" applyNumberFormat="1" applyFont="1" applyBorder="1" applyAlignment="1">
      <alignment horizontal="right"/>
    </xf>
    <xf numFmtId="177" fontId="5" fillId="0" borderId="18" xfId="0" applyNumberFormat="1" applyFont="1" applyBorder="1" applyAlignment="1">
      <alignment horizontal="right"/>
    </xf>
    <xf numFmtId="177" fontId="10" fillId="0" borderId="18" xfId="0" applyNumberFormat="1" applyFont="1" applyBorder="1" applyAlignment="1">
      <alignment horizontal="right" shrinkToFit="1"/>
    </xf>
    <xf numFmtId="177" fontId="5" fillId="0" borderId="0" xfId="0" applyNumberFormat="1" applyFont="1">
      <alignment vertical="center"/>
    </xf>
    <xf numFmtId="177" fontId="5" fillId="5" borderId="17" xfId="0" applyNumberFormat="1" applyFont="1" applyFill="1" applyBorder="1" applyAlignment="1">
      <alignment horizontal="right" vertical="center"/>
    </xf>
    <xf numFmtId="177" fontId="5" fillId="5" borderId="21" xfId="0" applyNumberFormat="1" applyFont="1" applyFill="1" applyBorder="1" applyAlignment="1">
      <alignment horizontal="right" vertical="center" shrinkToFit="1"/>
    </xf>
    <xf numFmtId="177" fontId="5" fillId="6" borderId="18" xfId="0" applyNumberFormat="1" applyFont="1" applyFill="1" applyBorder="1" applyAlignment="1">
      <alignment horizontal="right" vertical="center"/>
    </xf>
    <xf numFmtId="177" fontId="5" fillId="6" borderId="22" xfId="0" applyNumberFormat="1" applyFont="1" applyFill="1" applyBorder="1" applyAlignment="1">
      <alignment horizontal="right" vertical="center" shrinkToFit="1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>
      <alignment vertical="center"/>
    </xf>
    <xf numFmtId="180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18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49" fontId="20" fillId="2" borderId="2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 shrinkToFit="1"/>
    </xf>
    <xf numFmtId="0" fontId="21" fillId="8" borderId="5" xfId="0" applyFont="1" applyFill="1" applyBorder="1" applyAlignment="1">
      <alignment horizontal="center" vertical="center" wrapText="1" shrinkToFit="1"/>
    </xf>
    <xf numFmtId="0" fontId="4" fillId="8" borderId="2" xfId="0" applyFont="1" applyFill="1" applyBorder="1" applyAlignment="1">
      <alignment horizontal="center" vertical="center" wrapText="1"/>
    </xf>
    <xf numFmtId="49" fontId="5" fillId="0" borderId="0" xfId="0" applyNumberFormat="1" applyFont="1">
      <alignment vertical="center"/>
    </xf>
    <xf numFmtId="49" fontId="5" fillId="0" borderId="16" xfId="0" applyNumberFormat="1" applyFont="1" applyBorder="1" applyAlignment="1">
      <alignment horizontal="left" vertical="center"/>
    </xf>
    <xf numFmtId="0" fontId="5" fillId="11" borderId="1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176" fontId="5" fillId="14" borderId="16" xfId="0" applyNumberFormat="1" applyFont="1" applyFill="1" applyBorder="1" applyAlignment="1">
      <alignment horizontal="center" vertical="center"/>
    </xf>
    <xf numFmtId="49" fontId="5" fillId="14" borderId="16" xfId="0" applyNumberFormat="1" applyFont="1" applyFill="1" applyBorder="1" applyAlignment="1">
      <alignment horizontal="left" vertical="center"/>
    </xf>
    <xf numFmtId="182" fontId="5" fillId="14" borderId="16" xfId="0" applyNumberFormat="1" applyFont="1" applyFill="1" applyBorder="1" applyAlignment="1">
      <alignment horizontal="right" vertical="center"/>
    </xf>
    <xf numFmtId="49" fontId="5" fillId="0" borderId="0" xfId="0" applyNumberFormat="1" applyFont="1" applyAlignment="1">
      <alignment vertical="top" wrapText="1"/>
    </xf>
    <xf numFmtId="49" fontId="5" fillId="0" borderId="20" xfId="0" applyNumberFormat="1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5" fillId="11" borderId="18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13" borderId="28" xfId="0" applyFont="1" applyFill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8" fillId="0" borderId="22" xfId="0" applyFont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5" fillId="11" borderId="25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13" borderId="2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177" fontId="5" fillId="0" borderId="22" xfId="0" applyNumberFormat="1" applyFont="1" applyBorder="1" applyAlignment="1">
      <alignment horizontal="right" vertical="center"/>
    </xf>
    <xf numFmtId="177" fontId="5" fillId="9" borderId="13" xfId="0" applyNumberFormat="1" applyFont="1" applyFill="1" applyBorder="1" applyAlignment="1">
      <alignment horizontal="right" vertical="center"/>
    </xf>
    <xf numFmtId="177" fontId="5" fillId="9" borderId="17" xfId="0" applyNumberFormat="1" applyFont="1" applyFill="1" applyBorder="1" applyAlignment="1">
      <alignment horizontal="right" vertical="center"/>
    </xf>
    <xf numFmtId="177" fontId="5" fillId="9" borderId="21" xfId="0" applyNumberFormat="1" applyFont="1" applyFill="1" applyBorder="1" applyAlignment="1">
      <alignment horizontal="right" vertical="center"/>
    </xf>
    <xf numFmtId="177" fontId="5" fillId="10" borderId="14" xfId="0" applyNumberFormat="1" applyFont="1" applyFill="1" applyBorder="1" applyAlignment="1">
      <alignment horizontal="right" vertical="center"/>
    </xf>
    <xf numFmtId="177" fontId="5" fillId="10" borderId="18" xfId="0" applyNumberFormat="1" applyFont="1" applyFill="1" applyBorder="1" applyAlignment="1">
      <alignment horizontal="right" vertical="center"/>
    </xf>
    <xf numFmtId="177" fontId="5" fillId="10" borderId="22" xfId="0" applyNumberFormat="1" applyFont="1" applyFill="1" applyBorder="1" applyAlignment="1">
      <alignment horizontal="right" vertical="center"/>
    </xf>
    <xf numFmtId="177" fontId="5" fillId="12" borderId="14" xfId="0" applyNumberFormat="1" applyFont="1" applyFill="1" applyBorder="1" applyAlignment="1">
      <alignment horizontal="right" vertical="center"/>
    </xf>
    <xf numFmtId="177" fontId="5" fillId="12" borderId="18" xfId="0" applyNumberFormat="1" applyFont="1" applyFill="1" applyBorder="1" applyAlignment="1">
      <alignment horizontal="right" vertical="center"/>
    </xf>
    <xf numFmtId="177" fontId="5" fillId="12" borderId="22" xfId="0" applyNumberFormat="1" applyFont="1" applyFill="1" applyBorder="1" applyAlignment="1">
      <alignment horizontal="right" vertical="center"/>
    </xf>
    <xf numFmtId="177" fontId="5" fillId="14" borderId="16" xfId="0" applyNumberFormat="1" applyFont="1" applyFill="1" applyBorder="1" applyAlignment="1">
      <alignment horizontal="right" vertical="center"/>
    </xf>
    <xf numFmtId="177" fontId="5" fillId="14" borderId="20" xfId="0" applyNumberFormat="1" applyFont="1" applyFill="1" applyBorder="1" applyAlignment="1">
      <alignment horizontal="right" vertical="center"/>
    </xf>
    <xf numFmtId="177" fontId="5" fillId="14" borderId="27" xfId="0" applyNumberFormat="1" applyFont="1" applyFill="1" applyBorder="1" applyAlignment="1">
      <alignment horizontal="right" vertical="center"/>
    </xf>
    <xf numFmtId="0" fontId="22" fillId="0" borderId="0" xfId="0" applyFont="1">
      <alignment vertical="center"/>
    </xf>
    <xf numFmtId="0" fontId="23" fillId="0" borderId="0" xfId="2"/>
    <xf numFmtId="0" fontId="20" fillId="0" borderId="0" xfId="2" applyFont="1"/>
    <xf numFmtId="0" fontId="23" fillId="0" borderId="0" xfId="2" applyAlignment="1">
      <alignment wrapText="1"/>
    </xf>
    <xf numFmtId="183" fontId="27" fillId="0" borderId="0" xfId="2" applyNumberFormat="1" applyFont="1" applyAlignment="1">
      <alignment horizontal="center" vertical="center" wrapText="1"/>
    </xf>
    <xf numFmtId="183" fontId="28" fillId="0" borderId="0" xfId="2" applyNumberFormat="1" applyFont="1" applyAlignment="1">
      <alignment horizontal="center" vertical="center" wrapText="1"/>
    </xf>
    <xf numFmtId="183" fontId="23" fillId="0" borderId="0" xfId="2" applyNumberFormat="1" applyAlignment="1">
      <alignment horizontal="center" vertical="center" wrapText="1"/>
    </xf>
    <xf numFmtId="183" fontId="26" fillId="2" borderId="39" xfId="2" applyNumberFormat="1" applyFont="1" applyFill="1" applyBorder="1" applyAlignment="1">
      <alignment horizontal="center" vertical="center" wrapText="1"/>
    </xf>
    <xf numFmtId="49" fontId="29" fillId="0" borderId="41" xfId="2" applyNumberFormat="1" applyFont="1" applyBorder="1" applyAlignment="1">
      <alignment horizontal="center" vertical="center" wrapText="1"/>
    </xf>
    <xf numFmtId="49" fontId="29" fillId="0" borderId="2" xfId="2" applyNumberFormat="1" applyFont="1" applyBorder="1" applyAlignment="1">
      <alignment horizontal="center" vertical="center" wrapText="1"/>
    </xf>
    <xf numFmtId="49" fontId="29" fillId="0" borderId="3" xfId="2" applyNumberFormat="1" applyFont="1" applyBorder="1" applyAlignment="1">
      <alignment horizontal="center" vertical="center" wrapText="1"/>
    </xf>
    <xf numFmtId="49" fontId="28" fillId="0" borderId="3" xfId="2" applyNumberFormat="1" applyFont="1" applyBorder="1" applyAlignment="1">
      <alignment horizontal="center" vertical="center" wrapText="1"/>
    </xf>
    <xf numFmtId="49" fontId="28" fillId="0" borderId="42" xfId="2" applyNumberFormat="1" applyFont="1" applyBorder="1" applyAlignment="1">
      <alignment horizontal="center" vertical="center" wrapText="1"/>
    </xf>
    <xf numFmtId="0" fontId="23" fillId="0" borderId="0" xfId="2" applyAlignment="1">
      <alignment horizontal="center" vertical="center" wrapText="1"/>
    </xf>
    <xf numFmtId="0" fontId="28" fillId="0" borderId="43" xfId="2" applyFont="1" applyBorder="1" applyAlignment="1">
      <alignment horizontal="center"/>
    </xf>
    <xf numFmtId="0" fontId="28" fillId="0" borderId="44" xfId="2" applyFont="1" applyBorder="1" applyAlignment="1">
      <alignment horizontal="center"/>
    </xf>
    <xf numFmtId="0" fontId="28" fillId="0" borderId="44" xfId="2" applyFont="1" applyBorder="1" applyAlignment="1">
      <alignment horizontal="center" wrapText="1"/>
    </xf>
    <xf numFmtId="0" fontId="28" fillId="0" borderId="45" xfId="2" applyFont="1" applyBorder="1" applyAlignment="1">
      <alignment horizontal="center"/>
    </xf>
    <xf numFmtId="0" fontId="28" fillId="0" borderId="46" xfId="2" applyFont="1" applyBorder="1" applyAlignment="1">
      <alignment horizontal="center"/>
    </xf>
    <xf numFmtId="0" fontId="31" fillId="0" borderId="0" xfId="3" applyAlignment="1" applyProtection="1">
      <alignment horizontal="left" vertical="center" wrapText="1"/>
      <protection locked="0"/>
    </xf>
    <xf numFmtId="0" fontId="20" fillId="0" borderId="0" xfId="2" applyFont="1" applyAlignment="1">
      <alignment wrapText="1"/>
    </xf>
    <xf numFmtId="0" fontId="23" fillId="0" borderId="0" xfId="2" applyAlignment="1">
      <alignment vertical="center"/>
    </xf>
    <xf numFmtId="184" fontId="20" fillId="0" borderId="0" xfId="2" applyNumberFormat="1" applyFont="1"/>
    <xf numFmtId="0" fontId="32" fillId="0" borderId="0" xfId="3" applyFont="1" applyAlignment="1" applyProtection="1">
      <alignment horizontal="centerContinuous" vertical="center"/>
      <protection locked="0"/>
    </xf>
    <xf numFmtId="182" fontId="32" fillId="0" borderId="0" xfId="3" applyNumberFormat="1" applyFont="1" applyAlignment="1" applyProtection="1">
      <alignment horizontal="centerContinuous" vertical="center"/>
      <protection locked="0"/>
    </xf>
    <xf numFmtId="0" fontId="32" fillId="0" borderId="0" xfId="3" applyFont="1" applyAlignment="1" applyProtection="1">
      <alignment vertical="center"/>
      <protection locked="0"/>
    </xf>
    <xf numFmtId="0" fontId="32" fillId="0" borderId="0" xfId="3" applyFont="1" applyAlignment="1" applyProtection="1">
      <alignment vertical="center"/>
      <protection hidden="1"/>
    </xf>
    <xf numFmtId="0" fontId="31" fillId="0" borderId="0" xfId="3" applyAlignment="1" applyProtection="1">
      <alignment vertical="center"/>
      <protection hidden="1"/>
    </xf>
    <xf numFmtId="0" fontId="31" fillId="0" borderId="0" xfId="3" applyAlignment="1" applyProtection="1">
      <alignment vertical="center"/>
      <protection locked="0"/>
    </xf>
    <xf numFmtId="49" fontId="33" fillId="0" borderId="0" xfId="3" applyNumberFormat="1" applyFont="1" applyAlignment="1">
      <alignment vertical="center"/>
    </xf>
    <xf numFmtId="49" fontId="33" fillId="0" borderId="0" xfId="3" applyNumberFormat="1" applyFont="1" applyAlignment="1" applyProtection="1">
      <alignment vertical="center"/>
      <protection hidden="1"/>
    </xf>
    <xf numFmtId="0" fontId="31" fillId="0" borderId="0" xfId="3" applyAlignment="1">
      <alignment vertical="center"/>
    </xf>
    <xf numFmtId="0" fontId="34" fillId="0" borderId="0" xfId="3" applyFont="1" applyAlignment="1" applyProtection="1">
      <alignment horizontal="centerContinuous" vertical="center"/>
      <protection locked="0"/>
    </xf>
    <xf numFmtId="182" fontId="34" fillId="0" borderId="0" xfId="3" applyNumberFormat="1" applyFont="1" applyAlignment="1" applyProtection="1">
      <alignment horizontal="centerContinuous" vertical="center"/>
      <protection locked="0"/>
    </xf>
    <xf numFmtId="0" fontId="34" fillId="0" borderId="0" xfId="3" applyFont="1" applyAlignment="1" applyProtection="1">
      <alignment vertical="center"/>
      <protection locked="0"/>
    </xf>
    <xf numFmtId="0" fontId="34" fillId="0" borderId="0" xfId="3" applyFont="1" applyAlignment="1" applyProtection="1">
      <alignment vertical="center"/>
      <protection hidden="1"/>
    </xf>
    <xf numFmtId="0" fontId="35" fillId="0" borderId="0" xfId="3" applyFont="1" applyAlignment="1" applyProtection="1">
      <alignment horizontal="center" vertical="center"/>
      <protection locked="0"/>
    </xf>
    <xf numFmtId="185" fontId="35" fillId="0" borderId="0" xfId="3" applyNumberFormat="1" applyFont="1" applyAlignment="1" applyProtection="1">
      <alignment horizontal="left" vertical="center"/>
      <protection locked="0"/>
    </xf>
    <xf numFmtId="182" fontId="35" fillId="0" borderId="0" xfId="3" applyNumberFormat="1" applyFont="1" applyAlignment="1" applyProtection="1">
      <alignment horizontal="center" vertical="center"/>
      <protection locked="0"/>
    </xf>
    <xf numFmtId="0" fontId="34" fillId="0" borderId="0" xfId="3" applyFont="1" applyAlignment="1" applyProtection="1">
      <alignment horizontal="center" vertical="center"/>
      <protection locked="0"/>
    </xf>
    <xf numFmtId="0" fontId="34" fillId="0" borderId="0" xfId="3" applyFont="1" applyAlignment="1" applyProtection="1">
      <alignment horizontal="center" vertical="center"/>
      <protection hidden="1"/>
    </xf>
    <xf numFmtId="0" fontId="36" fillId="0" borderId="1" xfId="3" applyFont="1" applyBorder="1" applyAlignment="1" applyProtection="1">
      <alignment vertical="center"/>
      <protection locked="0"/>
    </xf>
    <xf numFmtId="0" fontId="36" fillId="0" borderId="1" xfId="3" applyFont="1" applyBorder="1" applyAlignment="1" applyProtection="1">
      <alignment horizontal="center" vertical="center"/>
      <protection locked="0"/>
    </xf>
    <xf numFmtId="182" fontId="36" fillId="0" borderId="1" xfId="3" applyNumberFormat="1" applyFont="1" applyBorder="1" applyAlignment="1" applyProtection="1">
      <alignment vertical="center"/>
      <protection locked="0"/>
    </xf>
    <xf numFmtId="0" fontId="36" fillId="0" borderId="0" xfId="3" applyFont="1" applyAlignment="1" applyProtection="1">
      <alignment vertical="center"/>
      <protection locked="0"/>
    </xf>
    <xf numFmtId="0" fontId="36" fillId="0" borderId="0" xfId="3" applyFont="1" applyAlignment="1" applyProtection="1">
      <alignment vertical="center"/>
      <protection hidden="1"/>
    </xf>
    <xf numFmtId="49" fontId="37" fillId="0" borderId="0" xfId="3" applyNumberFormat="1" applyFont="1" applyAlignment="1">
      <alignment vertical="center"/>
    </xf>
    <xf numFmtId="49" fontId="37" fillId="0" borderId="0" xfId="3" applyNumberFormat="1" applyFont="1" applyAlignment="1" applyProtection="1">
      <alignment vertical="center"/>
      <protection hidden="1"/>
    </xf>
    <xf numFmtId="0" fontId="36" fillId="0" borderId="0" xfId="3" applyFont="1" applyAlignment="1">
      <alignment vertical="center"/>
    </xf>
    <xf numFmtId="0" fontId="31" fillId="15" borderId="47" xfId="3" applyFill="1" applyBorder="1" applyAlignment="1" applyProtection="1">
      <alignment horizontal="center" vertical="center"/>
      <protection locked="0"/>
    </xf>
    <xf numFmtId="185" fontId="31" fillId="15" borderId="47" xfId="3" applyNumberFormat="1" applyFill="1" applyBorder="1" applyAlignment="1" applyProtection="1">
      <alignment horizontal="center" vertical="center"/>
      <protection locked="0"/>
    </xf>
    <xf numFmtId="182" fontId="31" fillId="15" borderId="47" xfId="3" applyNumberFormat="1" applyFill="1" applyBorder="1" applyAlignment="1" applyProtection="1">
      <alignment horizontal="center" vertical="center"/>
      <protection locked="0"/>
    </xf>
    <xf numFmtId="0" fontId="31" fillId="0" borderId="0" xfId="3" applyAlignment="1" applyProtection="1">
      <alignment horizontal="center" vertical="center"/>
      <protection locked="0"/>
    </xf>
    <xf numFmtId="0" fontId="31" fillId="0" borderId="0" xfId="3" applyAlignment="1" applyProtection="1">
      <alignment horizontal="center" vertical="center"/>
      <protection hidden="1"/>
    </xf>
    <xf numFmtId="0" fontId="31" fillId="0" borderId="2" xfId="3" applyBorder="1" applyAlignment="1" applyProtection="1">
      <alignment horizontal="center" vertical="center" wrapText="1"/>
      <protection locked="0"/>
    </xf>
    <xf numFmtId="185" fontId="31" fillId="0" borderId="2" xfId="3" applyNumberFormat="1" applyBorder="1" applyAlignment="1" applyProtection="1">
      <alignment horizontal="center" vertical="center" wrapText="1"/>
      <protection locked="0"/>
    </xf>
    <xf numFmtId="185" fontId="31" fillId="0" borderId="0" xfId="3" applyNumberFormat="1" applyAlignment="1" applyProtection="1">
      <alignment horizontal="center" vertical="center"/>
      <protection locked="0"/>
    </xf>
    <xf numFmtId="182" fontId="31" fillId="0" borderId="0" xfId="3" applyNumberFormat="1" applyAlignment="1" applyProtection="1">
      <alignment horizontal="center" vertical="center"/>
      <protection locked="0"/>
    </xf>
    <xf numFmtId="0" fontId="39" fillId="0" borderId="0" xfId="3" applyFont="1" applyAlignment="1" applyProtection="1">
      <alignment horizontal="centerContinuous" vertical="center"/>
      <protection locked="0"/>
    </xf>
    <xf numFmtId="0" fontId="31" fillId="0" borderId="0" xfId="3" applyAlignment="1">
      <alignment horizontal="center" vertical="center"/>
    </xf>
    <xf numFmtId="185" fontId="31" fillId="0" borderId="0" xfId="3" applyNumberFormat="1" applyAlignment="1">
      <alignment vertical="center"/>
    </xf>
    <xf numFmtId="0" fontId="31" fillId="0" borderId="0" xfId="3" applyAlignment="1">
      <alignment horizontal="left" vertical="center"/>
    </xf>
    <xf numFmtId="185" fontId="31" fillId="0" borderId="0" xfId="3" applyNumberFormat="1" applyAlignment="1">
      <alignment horizontal="center" vertical="center"/>
    </xf>
    <xf numFmtId="0" fontId="31" fillId="0" borderId="47" xfId="3" applyBorder="1" applyAlignment="1">
      <alignment horizontal="center" vertical="center"/>
    </xf>
    <xf numFmtId="185" fontId="31" fillId="0" borderId="47" xfId="3" applyNumberFormat="1" applyBorder="1" applyAlignment="1">
      <alignment horizontal="center" vertical="center"/>
    </xf>
    <xf numFmtId="0" fontId="40" fillId="0" borderId="47" xfId="4" applyBorder="1" applyAlignment="1" applyProtection="1">
      <alignment horizontal="center" vertical="center"/>
    </xf>
    <xf numFmtId="0" fontId="41" fillId="0" borderId="47" xfId="3" applyFont="1" applyBorder="1" applyAlignment="1">
      <alignment horizontal="center" vertical="center" wrapText="1"/>
    </xf>
    <xf numFmtId="0" fontId="40" fillId="0" borderId="2" xfId="4" applyBorder="1" applyAlignment="1" applyProtection="1">
      <alignment horizontal="center" vertical="center"/>
    </xf>
    <xf numFmtId="0" fontId="31" fillId="0" borderId="2" xfId="3" applyBorder="1" applyAlignment="1">
      <alignment horizontal="center" vertical="center" wrapText="1"/>
    </xf>
    <xf numFmtId="185" fontId="31" fillId="0" borderId="2" xfId="3" applyNumberFormat="1" applyBorder="1" applyAlignment="1">
      <alignment horizontal="center" vertical="center" wrapText="1"/>
    </xf>
    <xf numFmtId="0" fontId="31" fillId="0" borderId="2" xfId="3" applyBorder="1" applyAlignment="1">
      <alignment horizontal="center" vertical="center"/>
    </xf>
    <xf numFmtId="185" fontId="31" fillId="0" borderId="2" xfId="3" applyNumberFormat="1" applyBorder="1" applyAlignment="1">
      <alignment horizontal="center" vertical="center"/>
    </xf>
    <xf numFmtId="0" fontId="31" fillId="0" borderId="2" xfId="3" applyBorder="1" applyAlignment="1">
      <alignment vertical="center"/>
    </xf>
    <xf numFmtId="0" fontId="43" fillId="0" borderId="2" xfId="3" applyFont="1" applyBorder="1" applyAlignment="1">
      <alignment vertical="center"/>
    </xf>
    <xf numFmtId="0" fontId="43" fillId="0" borderId="0" xfId="3" applyFont="1" applyAlignment="1">
      <alignment vertical="center"/>
    </xf>
    <xf numFmtId="49" fontId="31" fillId="0" borderId="0" xfId="3" applyNumberFormat="1" applyAlignment="1">
      <alignment vertical="center"/>
    </xf>
    <xf numFmtId="0" fontId="4" fillId="8" borderId="0" xfId="0" applyFont="1" applyFill="1" applyAlignment="1">
      <alignment horizontal="center" vertical="center" wrapText="1"/>
    </xf>
    <xf numFmtId="1" fontId="18" fillId="0" borderId="17" xfId="1" applyNumberFormat="1" applyBorder="1" applyAlignment="1">
      <alignment horizontal="center" vertical="center"/>
    </xf>
    <xf numFmtId="1" fontId="18" fillId="0" borderId="0" xfId="1" applyNumberFormat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 applyProtection="1">
      <alignment horizontal="right"/>
      <protection locked="0"/>
    </xf>
    <xf numFmtId="0" fontId="11" fillId="0" borderId="1" xfId="0" applyFont="1" applyBorder="1" applyAlignment="1">
      <alignment horizontal="right"/>
    </xf>
    <xf numFmtId="0" fontId="18" fillId="0" borderId="3" xfId="1" applyBorder="1" applyAlignment="1">
      <alignment horizontal="left" vertical="center"/>
    </xf>
    <xf numFmtId="0" fontId="18" fillId="0" borderId="4" xfId="1" applyBorder="1" applyAlignment="1">
      <alignment horizontal="left" vertical="center"/>
    </xf>
    <xf numFmtId="0" fontId="18" fillId="0" borderId="5" xfId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19" xfId="0" applyFont="1" applyBorder="1" applyAlignment="1">
      <alignment shrinkToFit="1"/>
    </xf>
    <xf numFmtId="0" fontId="17" fillId="0" borderId="28" xfId="0" applyFont="1" applyBorder="1" applyAlignment="1">
      <alignment shrinkToFit="1"/>
    </xf>
    <xf numFmtId="1" fontId="8" fillId="0" borderId="17" xfId="0" applyNumberFormat="1" applyFont="1" applyBorder="1" applyAlignment="1">
      <alignment horizontal="center" vertical="center" textRotation="255"/>
    </xf>
    <xf numFmtId="1" fontId="8" fillId="0" borderId="21" xfId="0" applyNumberFormat="1" applyFont="1" applyBorder="1" applyAlignment="1">
      <alignment horizontal="center" vertical="center" textRotation="255"/>
    </xf>
    <xf numFmtId="0" fontId="10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77" fontId="5" fillId="0" borderId="18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177" fontId="5" fillId="0" borderId="22" xfId="0" applyNumberFormat="1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19" fillId="0" borderId="0" xfId="0" applyFont="1" applyAlignment="1" applyProtection="1">
      <alignment horizontal="center" vertical="center"/>
      <protection locked="0"/>
    </xf>
    <xf numFmtId="183" fontId="26" fillId="2" borderId="36" xfId="2" applyNumberFormat="1" applyFont="1" applyFill="1" applyBorder="1" applyAlignment="1">
      <alignment horizontal="center" vertical="center" wrapText="1"/>
    </xf>
    <xf numFmtId="183" fontId="26" fillId="2" borderId="40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/>
    </xf>
    <xf numFmtId="183" fontId="4" fillId="2" borderId="32" xfId="2" applyNumberFormat="1" applyFont="1" applyFill="1" applyBorder="1" applyAlignment="1">
      <alignment horizontal="center" vertical="center" wrapText="1"/>
    </xf>
    <xf numFmtId="183" fontId="4" fillId="2" borderId="37" xfId="2" applyNumberFormat="1" applyFont="1" applyFill="1" applyBorder="1" applyAlignment="1">
      <alignment horizontal="center" vertical="center" wrapText="1"/>
    </xf>
    <xf numFmtId="183" fontId="4" fillId="2" borderId="33" xfId="2" applyNumberFormat="1" applyFont="1" applyFill="1" applyBorder="1" applyAlignment="1">
      <alignment horizontal="center" vertical="center" wrapText="1"/>
    </xf>
    <xf numFmtId="183" fontId="4" fillId="2" borderId="38" xfId="2" applyNumberFormat="1" applyFont="1" applyFill="1" applyBorder="1" applyAlignment="1">
      <alignment horizontal="center" vertical="center" wrapText="1"/>
    </xf>
    <xf numFmtId="183" fontId="26" fillId="2" borderId="33" xfId="2" applyNumberFormat="1" applyFont="1" applyFill="1" applyBorder="1" applyAlignment="1">
      <alignment horizontal="center" vertical="center" wrapText="1"/>
    </xf>
    <xf numFmtId="183" fontId="26" fillId="2" borderId="38" xfId="2" applyNumberFormat="1" applyFont="1" applyFill="1" applyBorder="1" applyAlignment="1">
      <alignment horizontal="center" vertical="center" wrapText="1"/>
    </xf>
    <xf numFmtId="183" fontId="26" fillId="2" borderId="34" xfId="2" applyNumberFormat="1" applyFont="1" applyFill="1" applyBorder="1" applyAlignment="1">
      <alignment horizontal="center" vertical="center" wrapText="1"/>
    </xf>
    <xf numFmtId="183" fontId="26" fillId="2" borderId="35" xfId="2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10" fillId="0" borderId="19" xfId="0" applyFont="1" applyBorder="1" applyAlignment="1">
      <alignment horizontal="left" vertical="center" shrinkToFit="1"/>
    </xf>
    <xf numFmtId="0" fontId="10" fillId="0" borderId="23" xfId="0" applyFont="1" applyBorder="1" applyAlignment="1">
      <alignment horizontal="left" vertical="center" shrinkToFit="1"/>
    </xf>
    <xf numFmtId="1" fontId="8" fillId="0" borderId="24" xfId="0" applyNumberFormat="1" applyFont="1" applyBorder="1" applyAlignment="1">
      <alignment horizontal="center" vertical="center" wrapText="1"/>
    </xf>
    <xf numFmtId="1" fontId="8" fillId="0" borderId="25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1" fillId="0" borderId="1" xfId="3" applyBorder="1" applyAlignment="1">
      <alignment horizontal="left" vertical="center"/>
    </xf>
    <xf numFmtId="0" fontId="42" fillId="0" borderId="2" xfId="3" applyFont="1" applyBorder="1" applyAlignment="1">
      <alignment horizontal="left" vertical="center"/>
    </xf>
  </cellXfs>
  <cellStyles count="5">
    <cellStyle name="常规" xfId="0" builtinId="0"/>
    <cellStyle name="常规 13" xfId="2" xr:uid="{99EDEE11-C2A1-4656-99EA-70988F2DB684}"/>
    <cellStyle name="常规 2" xfId="3" xr:uid="{A622CDB6-4B9F-4954-897C-026C24A8ACB6}"/>
    <cellStyle name="超链接" xfId="1" builtinId="8"/>
    <cellStyle name="超链接 2" xfId="4" xr:uid="{827C9D1E-13E0-4A75-A494-1B25858EF0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</xdr:colOff>
      <xdr:row>2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11F56F-ACA9-1EA8-3D34-CEDE34B31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5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962025</xdr:colOff>
      <xdr:row>2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DB298FB-C442-7CB9-07A9-1AA4B4F4E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5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xwechat_files/wxid_okw2hmcaopzj21_4b62/msg/file/2026-09/GZ460&#37197;&#30005;&#31665;&#37319;&#36141;&#28165;&#21333;260911_&#28040;&#38450;&#30005;&#26799;&#31665;(1).xlsx" TargetMode="External"/><Relationship Id="rId2" Type="http://schemas.openxmlformats.org/officeDocument/2006/relationships/externalLinkPath" Target="file:///E:\xwechat_files\wxid_okw2hmcaopzj21_4b62\msg\file\2026-09\GZ460&#37197;&#30005;&#31665;&#37319;&#36141;&#28165;&#21333;260911_&#28040;&#38450;&#30005;&#26799;&#31665;(1).xlsx" TargetMode="External"/><Relationship Id="rId1" Type="http://schemas.openxmlformats.org/officeDocument/2006/relationships/externalLinkPath" Target="/xwechat_files/wxid_okw2hmcaopzj21_4b62/msg/file/2026-09/GZ460&#37197;&#30005;&#31665;&#37319;&#36141;&#28165;&#21333;260911_&#28040;&#38450;&#30005;&#26799;&#31665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领料清单"/>
      <sheetName val="报价明细"/>
      <sheetName val="报价汇总"/>
      <sheetName val="人工清单"/>
      <sheetName val="成品交接单"/>
      <sheetName val="采购"/>
      <sheetName val="二次图对应明细"/>
    </sheetNames>
    <sheetDataSet>
      <sheetData sheetId="0" refreshError="1"/>
      <sheetData sheetId="1">
        <row r="4">
          <cell r="A4" t="str">
            <v>项目名称：GZ460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42AD-2BE2-443E-91B2-38E6A2ECE42B}">
  <sheetPr codeName="Sheet4"/>
  <dimension ref="A1:AB17"/>
  <sheetViews>
    <sheetView zoomScale="130" zoomScaleNormal="130" zoomScaleSheetLayoutView="115" workbookViewId="0">
      <selection activeCell="M15" sqref="M15"/>
    </sheetView>
  </sheetViews>
  <sheetFormatPr defaultRowHeight="13.5"/>
  <cols>
    <col min="1" max="1" width="4.625" style="172" customWidth="1"/>
    <col min="2" max="2" width="11.25" style="172" customWidth="1"/>
    <col min="3" max="3" width="31.375" style="174" customWidth="1"/>
    <col min="4" max="4" width="4.625" style="172" customWidth="1"/>
    <col min="5" max="5" width="5.125" style="172" customWidth="1"/>
    <col min="6" max="6" width="7.625" style="172" customWidth="1"/>
    <col min="7" max="7" width="4.25" style="172" customWidth="1"/>
    <col min="8" max="8" width="4.875" style="172" customWidth="1"/>
    <col min="9" max="9" width="4.375" style="172" customWidth="1"/>
    <col min="10" max="10" width="5.125" style="172" customWidth="1"/>
    <col min="11" max="11" width="6.125" style="172" customWidth="1"/>
    <col min="12" max="12" width="6.875" style="172" customWidth="1"/>
    <col min="13" max="20" width="6.625" style="172" customWidth="1"/>
    <col min="21" max="16384" width="9" style="172"/>
  </cols>
  <sheetData>
    <row r="1" spans="1:28" ht="20.25">
      <c r="A1" s="273" t="s">
        <v>117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</row>
    <row r="2" spans="1:28" ht="20.25">
      <c r="A2" s="273" t="s">
        <v>97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</row>
    <row r="3" spans="1:28" ht="29.25" customHeight="1">
      <c r="A3" s="173" t="s">
        <v>98</v>
      </c>
      <c r="F3" s="173"/>
      <c r="G3" s="173"/>
      <c r="H3" s="173"/>
      <c r="I3" s="173"/>
      <c r="J3" s="173"/>
      <c r="K3" s="173"/>
    </row>
    <row r="4" spans="1:28" ht="18" customHeight="1" thickBot="1">
      <c r="A4" s="173" t="s">
        <v>99</v>
      </c>
      <c r="F4" s="173" t="s">
        <v>100</v>
      </c>
      <c r="G4" s="173"/>
      <c r="H4" s="173"/>
      <c r="I4" s="173"/>
      <c r="J4" s="173"/>
      <c r="K4" s="173"/>
    </row>
    <row r="5" spans="1:28" s="177" customFormat="1" ht="11.25" customHeight="1" thickBot="1">
      <c r="A5" s="274" t="s">
        <v>29</v>
      </c>
      <c r="B5" s="276" t="s">
        <v>101</v>
      </c>
      <c r="C5" s="276" t="s">
        <v>102</v>
      </c>
      <c r="D5" s="276" t="s">
        <v>103</v>
      </c>
      <c r="E5" s="276" t="s">
        <v>104</v>
      </c>
      <c r="F5" s="278" t="s">
        <v>105</v>
      </c>
      <c r="G5" s="280" t="s">
        <v>106</v>
      </c>
      <c r="H5" s="281"/>
      <c r="I5" s="280" t="s">
        <v>106</v>
      </c>
      <c r="J5" s="281"/>
      <c r="K5" s="271" t="s">
        <v>107</v>
      </c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6"/>
      <c r="X5" s="176"/>
      <c r="Y5" s="176"/>
      <c r="Z5" s="176"/>
      <c r="AA5" s="176"/>
      <c r="AB5" s="176"/>
    </row>
    <row r="6" spans="1:28" s="177" customFormat="1" ht="11.25" customHeight="1">
      <c r="A6" s="275"/>
      <c r="B6" s="277"/>
      <c r="C6" s="277"/>
      <c r="D6" s="277"/>
      <c r="E6" s="277"/>
      <c r="F6" s="279"/>
      <c r="G6" s="178" t="s">
        <v>104</v>
      </c>
      <c r="H6" s="178" t="s">
        <v>108</v>
      </c>
      <c r="I6" s="178" t="s">
        <v>104</v>
      </c>
      <c r="J6" s="178" t="s">
        <v>108</v>
      </c>
      <c r="K6" s="272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6"/>
      <c r="X6" s="176"/>
      <c r="Y6" s="176"/>
      <c r="Z6" s="176"/>
      <c r="AA6" s="176"/>
      <c r="AB6" s="176"/>
    </row>
    <row r="7" spans="1:28" s="184" customFormat="1" ht="18.75" customHeight="1">
      <c r="A7" s="179"/>
      <c r="B7" s="180" t="s">
        <v>109</v>
      </c>
      <c r="C7" s="180" t="s">
        <v>110</v>
      </c>
      <c r="D7" s="180" t="s">
        <v>111</v>
      </c>
      <c r="E7" s="180" t="s">
        <v>112</v>
      </c>
      <c r="F7" s="180"/>
      <c r="G7" s="181"/>
      <c r="H7" s="181"/>
      <c r="I7" s="182"/>
      <c r="J7" s="182"/>
      <c r="K7" s="183" t="s">
        <v>113</v>
      </c>
    </row>
    <row r="8" spans="1:28" s="184" customFormat="1" ht="18" customHeight="1">
      <c r="A8" s="179"/>
      <c r="B8" s="180"/>
      <c r="C8" s="180"/>
      <c r="D8" s="180"/>
      <c r="E8" s="180"/>
      <c r="F8" s="180"/>
      <c r="G8" s="181"/>
      <c r="H8" s="181"/>
      <c r="I8" s="182"/>
      <c r="J8" s="182"/>
      <c r="K8" s="183"/>
    </row>
    <row r="9" spans="1:28" s="184" customFormat="1" ht="18" customHeight="1">
      <c r="A9" s="179"/>
      <c r="B9" s="180"/>
      <c r="C9" s="180"/>
      <c r="D9" s="180"/>
      <c r="E9" s="180"/>
      <c r="F9" s="180"/>
      <c r="G9" s="181"/>
      <c r="H9" s="181"/>
      <c r="I9" s="182"/>
      <c r="J9" s="182"/>
      <c r="K9" s="183"/>
    </row>
    <row r="10" spans="1:28" s="184" customFormat="1" ht="18" customHeight="1">
      <c r="A10" s="179"/>
      <c r="B10" s="180"/>
      <c r="C10" s="180"/>
      <c r="D10" s="180"/>
      <c r="E10" s="180"/>
      <c r="F10" s="180"/>
      <c r="G10" s="181"/>
      <c r="H10" s="181"/>
      <c r="I10" s="182"/>
      <c r="J10" s="182"/>
      <c r="K10" s="183"/>
    </row>
    <row r="11" spans="1:28" ht="18" customHeight="1" thickBot="1">
      <c r="A11" s="185"/>
      <c r="B11" s="186" t="s">
        <v>114</v>
      </c>
      <c r="C11" s="187"/>
      <c r="D11" s="186"/>
      <c r="E11" s="186"/>
      <c r="F11" s="186"/>
      <c r="G11" s="188"/>
      <c r="H11" s="188"/>
      <c r="I11" s="188"/>
      <c r="J11" s="188"/>
      <c r="K11" s="189"/>
    </row>
    <row r="12" spans="1:28" ht="18" customHeight="1"/>
    <row r="13" spans="1:28" s="192" customFormat="1" ht="18" customHeight="1">
      <c r="A13" s="173" t="s">
        <v>115</v>
      </c>
      <c r="B13" s="190"/>
      <c r="C13" s="191"/>
      <c r="D13" s="172"/>
      <c r="E13" s="172"/>
      <c r="F13" s="172"/>
      <c r="G13" s="172"/>
      <c r="H13" s="172"/>
      <c r="I13" s="172"/>
      <c r="J13" s="172"/>
      <c r="K13" s="172"/>
    </row>
    <row r="14" spans="1:28" ht="18" customHeight="1">
      <c r="E14" s="193"/>
      <c r="F14" s="193"/>
      <c r="G14" s="193"/>
      <c r="H14" s="193"/>
      <c r="I14" s="193"/>
      <c r="J14" s="193"/>
      <c r="K14" s="193"/>
    </row>
    <row r="15" spans="1:28">
      <c r="A15" s="172" t="s">
        <v>116</v>
      </c>
    </row>
    <row r="16" spans="1:28" ht="20.100000000000001" customHeight="1"/>
    <row r="17" ht="20.100000000000001" customHeight="1"/>
  </sheetData>
  <mergeCells count="11">
    <mergeCell ref="K5:K6"/>
    <mergeCell ref="A1:K1"/>
    <mergeCell ref="A2:K2"/>
    <mergeCell ref="A5:A6"/>
    <mergeCell ref="B5:B6"/>
    <mergeCell ref="C5:C6"/>
    <mergeCell ref="D5:D6"/>
    <mergeCell ref="E5:E6"/>
    <mergeCell ref="F5:F6"/>
    <mergeCell ref="G5:H5"/>
    <mergeCell ref="I5:J5"/>
  </mergeCells>
  <phoneticPr fontId="1" type="noConversion"/>
  <pageMargins left="0.39370078740157483" right="0.39370078740157483" top="0.74803149606299213" bottom="0.74803149606299213" header="0.31496062992125984" footer="0.31496062992125984"/>
  <pageSetup paperSize="171" orientation="portrait" r:id="rId1"/>
  <headerFooter>
    <oddFooter>&amp;C第&amp;P页&amp;R共&amp;N页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showGridLines="0" topLeftCell="A11" workbookViewId="0">
      <selection activeCell="A29" sqref="A29"/>
    </sheetView>
  </sheetViews>
  <sheetFormatPr defaultRowHeight="18" customHeight="1"/>
  <cols>
    <col min="1" max="1" width="17" customWidth="1"/>
    <col min="2" max="2" width="36" customWidth="1"/>
    <col min="3" max="3" width="9.75" customWidth="1"/>
    <col min="4" max="4" width="20.375" customWidth="1"/>
    <col min="5" max="5" width="15" customWidth="1"/>
    <col min="6" max="6" width="16.125" customWidth="1"/>
    <col min="7" max="8" width="13.375" customWidth="1"/>
  </cols>
  <sheetData>
    <row r="1" spans="1:8" ht="18" customHeight="1">
      <c r="A1" s="283" t="str">
        <f>T(B22)</f>
        <v>扬州华科</v>
      </c>
      <c r="B1" s="283"/>
      <c r="C1" s="283"/>
      <c r="D1" s="283"/>
      <c r="H1" s="1"/>
    </row>
    <row r="2" spans="1:8" ht="18" customHeight="1">
      <c r="A2" s="284" t="str">
        <f>T(B23)</f>
        <v/>
      </c>
      <c r="B2" s="284"/>
      <c r="C2" s="284"/>
      <c r="D2" s="284"/>
      <c r="H2" s="1"/>
    </row>
    <row r="3" spans="1:8" ht="18" customHeight="1">
      <c r="A3" s="2"/>
      <c r="B3" s="3"/>
      <c r="C3" s="3"/>
      <c r="D3" s="3"/>
      <c r="E3" s="4"/>
      <c r="F3" s="4"/>
      <c r="G3" s="4"/>
      <c r="H3" s="5"/>
    </row>
    <row r="4" spans="1:8" ht="18" customHeight="1">
      <c r="A4" s="285" t="s">
        <v>5</v>
      </c>
      <c r="B4" s="285"/>
      <c r="C4" s="285"/>
      <c r="D4" s="285"/>
      <c r="E4" s="285"/>
      <c r="F4" s="285"/>
      <c r="G4" s="4"/>
      <c r="H4" s="5"/>
    </row>
    <row r="5" spans="1:8" ht="18" customHeight="1">
      <c r="A5" s="6" t="s">
        <v>6</v>
      </c>
      <c r="B5" s="286"/>
      <c r="C5" s="287"/>
      <c r="D5" s="288"/>
      <c r="E5" s="6" t="s">
        <v>7</v>
      </c>
      <c r="F5" s="7" t="s">
        <v>8</v>
      </c>
      <c r="G5" s="4"/>
      <c r="H5" s="5"/>
    </row>
    <row r="6" spans="1:8" ht="18" customHeight="1">
      <c r="A6" s="6" t="s">
        <v>9</v>
      </c>
      <c r="B6" s="257"/>
      <c r="C6" s="282"/>
      <c r="D6" s="258"/>
      <c r="E6" s="6" t="s">
        <v>10</v>
      </c>
      <c r="F6" s="8"/>
      <c r="G6" s="4"/>
      <c r="H6" s="5"/>
    </row>
    <row r="7" spans="1:8" ht="18" customHeight="1">
      <c r="A7" s="6" t="s">
        <v>11</v>
      </c>
      <c r="B7" s="286"/>
      <c r="C7" s="287"/>
      <c r="D7" s="288"/>
      <c r="E7" s="9"/>
      <c r="F7" s="10"/>
      <c r="G7" s="4"/>
      <c r="H7" s="5"/>
    </row>
    <row r="8" spans="1:8" ht="18" customHeight="1">
      <c r="A8" s="6" t="s">
        <v>92</v>
      </c>
      <c r="B8" s="257" t="s">
        <v>93</v>
      </c>
      <c r="C8" s="282"/>
      <c r="D8" s="258"/>
      <c r="E8" s="11"/>
      <c r="F8" s="12"/>
      <c r="G8" s="4"/>
      <c r="H8" s="5"/>
    </row>
    <row r="9" spans="1:8" ht="18" customHeight="1">
      <c r="A9" s="6" t="s">
        <v>12</v>
      </c>
      <c r="B9" s="257"/>
      <c r="C9" s="282"/>
      <c r="D9" s="258"/>
      <c r="E9" s="11"/>
      <c r="F9" s="12"/>
      <c r="G9" s="4"/>
      <c r="H9" s="5"/>
    </row>
    <row r="10" spans="1:8" ht="18" customHeight="1">
      <c r="A10" s="6" t="s">
        <v>13</v>
      </c>
      <c r="B10" s="257"/>
      <c r="C10" s="282"/>
      <c r="D10" s="258"/>
      <c r="E10" s="11"/>
      <c r="F10" s="12"/>
      <c r="G10" s="4"/>
      <c r="H10" s="5"/>
    </row>
    <row r="11" spans="1:8" ht="18" customHeight="1">
      <c r="A11" s="6" t="s">
        <v>14</v>
      </c>
      <c r="B11" s="257"/>
      <c r="C11" s="282"/>
      <c r="D11" s="258"/>
      <c r="E11" s="11"/>
      <c r="F11" s="12"/>
      <c r="G11" s="4"/>
      <c r="H11" s="5"/>
    </row>
    <row r="12" spans="1:8" ht="18" customHeight="1">
      <c r="A12" s="6" t="s">
        <v>15</v>
      </c>
      <c r="B12" s="257"/>
      <c r="C12" s="282"/>
      <c r="D12" s="258"/>
      <c r="E12" s="11"/>
      <c r="F12" s="12"/>
      <c r="G12" s="4"/>
      <c r="H12" s="5"/>
    </row>
    <row r="13" spans="1:8" ht="18" customHeight="1">
      <c r="A13" s="289" t="s">
        <v>16</v>
      </c>
      <c r="B13" s="290"/>
      <c r="C13" s="290"/>
      <c r="D13" s="291"/>
      <c r="E13" s="11"/>
      <c r="F13" s="12"/>
      <c r="G13" s="4"/>
      <c r="H13" s="5"/>
    </row>
    <row r="14" spans="1:8" ht="18" customHeight="1">
      <c r="A14" s="6" t="s">
        <v>17</v>
      </c>
      <c r="B14" s="257"/>
      <c r="C14" s="282"/>
      <c r="D14" s="258"/>
      <c r="E14" s="11"/>
      <c r="F14" s="12"/>
      <c r="G14" s="4"/>
      <c r="H14" s="5"/>
    </row>
    <row r="15" spans="1:8" ht="18" customHeight="1">
      <c r="A15" s="6" t="s">
        <v>18</v>
      </c>
      <c r="B15" s="257"/>
      <c r="C15" s="282"/>
      <c r="D15" s="258"/>
      <c r="E15" s="11"/>
      <c r="F15" s="12"/>
      <c r="G15" s="4"/>
      <c r="H15" s="5"/>
    </row>
    <row r="16" spans="1:8" ht="18" customHeight="1">
      <c r="A16" s="6" t="s">
        <v>19</v>
      </c>
      <c r="B16" s="257"/>
      <c r="C16" s="282"/>
      <c r="D16" s="258"/>
      <c r="E16" s="11"/>
      <c r="F16" s="12"/>
      <c r="G16" s="4"/>
      <c r="H16" s="5"/>
    </row>
    <row r="17" spans="1:8" ht="18" customHeight="1">
      <c r="A17" s="6" t="s">
        <v>20</v>
      </c>
      <c r="B17" s="257"/>
      <c r="C17" s="282"/>
      <c r="D17" s="258"/>
      <c r="E17" s="11"/>
      <c r="F17" s="12"/>
      <c r="G17" s="4"/>
      <c r="H17" s="5"/>
    </row>
    <row r="18" spans="1:8" ht="18" customHeight="1">
      <c r="A18" s="6" t="s">
        <v>21</v>
      </c>
      <c r="B18" s="257"/>
      <c r="C18" s="282"/>
      <c r="D18" s="258"/>
      <c r="E18" s="11"/>
      <c r="F18" s="12"/>
      <c r="G18" s="4"/>
      <c r="H18" s="5"/>
    </row>
    <row r="19" spans="1:8" ht="18" customHeight="1">
      <c r="A19" s="6" t="s">
        <v>22</v>
      </c>
      <c r="B19" s="257"/>
      <c r="C19" s="282"/>
      <c r="D19" s="258"/>
      <c r="E19" s="11"/>
      <c r="F19" s="12"/>
      <c r="G19" s="4"/>
      <c r="H19" s="5"/>
    </row>
    <row r="20" spans="1:8" ht="18" customHeight="1">
      <c r="A20" s="6" t="s">
        <v>23</v>
      </c>
      <c r="B20" s="257"/>
      <c r="C20" s="282"/>
      <c r="D20" s="258"/>
      <c r="E20" s="11"/>
      <c r="F20" s="12"/>
      <c r="G20" s="4"/>
      <c r="H20" s="5"/>
    </row>
    <row r="21" spans="1:8" ht="18" customHeight="1">
      <c r="A21" s="289" t="s">
        <v>24</v>
      </c>
      <c r="B21" s="290"/>
      <c r="C21" s="290"/>
      <c r="D21" s="291"/>
      <c r="E21" s="11"/>
      <c r="F21" s="12"/>
      <c r="G21" s="4"/>
      <c r="H21" s="5"/>
    </row>
    <row r="22" spans="1:8" ht="18" customHeight="1">
      <c r="A22" s="6" t="s">
        <v>25</v>
      </c>
      <c r="B22" s="257" t="s">
        <v>94</v>
      </c>
      <c r="C22" s="282"/>
      <c r="D22" s="258"/>
      <c r="E22" s="11"/>
      <c r="F22" s="12"/>
      <c r="G22" s="4"/>
      <c r="H22" s="5"/>
    </row>
    <row r="23" spans="1:8" ht="18" customHeight="1">
      <c r="A23" s="6" t="s">
        <v>26</v>
      </c>
      <c r="B23" s="257"/>
      <c r="C23" s="282"/>
      <c r="D23" s="258"/>
      <c r="E23" s="11"/>
      <c r="F23" s="12"/>
      <c r="G23" s="4"/>
      <c r="H23" s="5"/>
    </row>
    <row r="24" spans="1:8" ht="18" customHeight="1">
      <c r="A24" s="6" t="s">
        <v>18</v>
      </c>
      <c r="B24" s="257"/>
      <c r="C24" s="282"/>
      <c r="D24" s="258"/>
      <c r="E24" s="11"/>
      <c r="F24" s="12"/>
      <c r="G24" s="4"/>
      <c r="H24" s="5"/>
    </row>
    <row r="25" spans="1:8" ht="18" customHeight="1">
      <c r="A25" s="6" t="s">
        <v>19</v>
      </c>
      <c r="B25" s="257"/>
      <c r="C25" s="282"/>
      <c r="D25" s="258"/>
      <c r="E25" s="11"/>
      <c r="F25" s="12"/>
      <c r="G25" s="4"/>
      <c r="H25" s="5"/>
    </row>
    <row r="26" spans="1:8" ht="18" customHeight="1">
      <c r="A26" s="6" t="s">
        <v>27</v>
      </c>
      <c r="B26" s="257"/>
      <c r="C26" s="282"/>
      <c r="D26" s="258"/>
      <c r="E26" s="11"/>
      <c r="F26" s="12"/>
      <c r="G26" s="4"/>
      <c r="H26" s="5"/>
    </row>
    <row r="27" spans="1:8" ht="18" customHeight="1">
      <c r="A27" s="292" t="s">
        <v>28</v>
      </c>
      <c r="B27" s="293"/>
      <c r="C27" s="293"/>
      <c r="D27" s="294"/>
      <c r="E27" s="13"/>
      <c r="F27" s="14"/>
      <c r="G27" s="4"/>
      <c r="H27" s="5"/>
    </row>
    <row r="28" spans="1:8" ht="18" customHeight="1">
      <c r="A28" s="15" t="s">
        <v>29</v>
      </c>
      <c r="B28" s="16" t="s">
        <v>30</v>
      </c>
      <c r="C28" s="16" t="s">
        <v>31</v>
      </c>
      <c r="D28" s="17" t="s">
        <v>32</v>
      </c>
      <c r="E28" s="18" t="s">
        <v>33</v>
      </c>
      <c r="F28" s="19" t="s">
        <v>34</v>
      </c>
      <c r="G28" s="20" t="s">
        <v>35</v>
      </c>
      <c r="H28" s="19" t="s">
        <v>36</v>
      </c>
    </row>
    <row r="29" spans="1:8" ht="18" customHeight="1">
      <c r="A29" s="107">
        <f t="shared" ref="A29:A56" si="0">ROW()-ROW(A$28)</f>
        <v>1</v>
      </c>
      <c r="B29" s="21" t="str">
        <f ca="1">MID(CELL("filename",分类1!$A$1),FIND("]",CELL("filename",分类1!$A$1))+1,31)</f>
        <v>分类1</v>
      </c>
      <c r="C29" s="22">
        <f ca="1">IF(H29="箱变",分类1!F35,分类1!F31*IF(分类1!F35="",1,分类1!F35))</f>
        <v>1</v>
      </c>
      <c r="D29" s="23">
        <f ca="1">ROUND(分类1!H35,2)</f>
        <v>0</v>
      </c>
      <c r="E29" s="24">
        <f ca="1">ROUND(分类1!J35,2)</f>
        <v>0</v>
      </c>
      <c r="F29" s="25">
        <f ca="1">ROUND((D29-E29),2)</f>
        <v>0</v>
      </c>
      <c r="G29" s="26">
        <f ca="1">IF(D29=0,0,F29/D29)</f>
        <v>0</v>
      </c>
      <c r="H29" s="27" t="str">
        <f ca="1">IF(OR(ISNUMBER(FIND("箱变", B29))=TRUE,ISNUMBER(FIND("欧变", B29))=TRUE,ISNUMBER(FIND("美变", B29))=TRUE,ISNUMBER(FIND("KVA", UPPER(B29)))=TRUE,ISNUMBER(FIND("箱式变电", B29))=TRUE),"箱变","常规")</f>
        <v>常规</v>
      </c>
    </row>
    <row r="30" spans="1:8" ht="18" customHeight="1">
      <c r="A30" s="28">
        <f t="shared" si="0"/>
        <v>2</v>
      </c>
      <c r="B30" s="29"/>
      <c r="C30" s="30"/>
      <c r="D30" s="31"/>
      <c r="E30" s="32"/>
      <c r="F30" s="33"/>
      <c r="G30" s="34"/>
      <c r="H30" s="27"/>
    </row>
    <row r="31" spans="1:8" ht="18" customHeight="1">
      <c r="A31" s="28">
        <f t="shared" si="0"/>
        <v>3</v>
      </c>
      <c r="B31" s="29"/>
      <c r="C31" s="30"/>
      <c r="D31" s="31"/>
      <c r="E31" s="32"/>
      <c r="F31" s="33"/>
      <c r="G31" s="34"/>
      <c r="H31" s="27"/>
    </row>
    <row r="32" spans="1:8" ht="18" customHeight="1">
      <c r="A32" s="28">
        <f t="shared" si="0"/>
        <v>4</v>
      </c>
      <c r="B32" s="35"/>
      <c r="C32" s="36"/>
      <c r="D32" s="31"/>
      <c r="E32" s="32"/>
      <c r="F32" s="33"/>
      <c r="G32" s="34"/>
      <c r="H32" s="27"/>
    </row>
    <row r="33" spans="1:8" ht="18" customHeight="1">
      <c r="A33" s="28">
        <f t="shared" si="0"/>
        <v>5</v>
      </c>
      <c r="B33" s="29"/>
      <c r="C33" s="30"/>
      <c r="D33" s="31"/>
      <c r="E33" s="32"/>
      <c r="F33" s="33"/>
      <c r="G33" s="34"/>
      <c r="H33" s="27"/>
    </row>
    <row r="34" spans="1:8" ht="18" customHeight="1">
      <c r="A34" s="28">
        <f t="shared" si="0"/>
        <v>6</v>
      </c>
      <c r="B34" s="29"/>
      <c r="C34" s="30"/>
      <c r="D34" s="31"/>
      <c r="E34" s="32"/>
      <c r="F34" s="33"/>
      <c r="G34" s="34"/>
      <c r="H34" s="27"/>
    </row>
    <row r="35" spans="1:8" ht="18" customHeight="1">
      <c r="A35" s="28">
        <f t="shared" si="0"/>
        <v>7</v>
      </c>
      <c r="B35" s="29"/>
      <c r="C35" s="30"/>
      <c r="D35" s="31"/>
      <c r="E35" s="32"/>
      <c r="F35" s="33"/>
      <c r="G35" s="34"/>
      <c r="H35" s="27"/>
    </row>
    <row r="36" spans="1:8" ht="18" customHeight="1">
      <c r="A36" s="28">
        <f t="shared" si="0"/>
        <v>8</v>
      </c>
      <c r="B36" s="29"/>
      <c r="C36" s="30"/>
      <c r="D36" s="31"/>
      <c r="E36" s="32"/>
      <c r="F36" s="33"/>
      <c r="G36" s="34"/>
      <c r="H36" s="27"/>
    </row>
    <row r="37" spans="1:8" ht="18" customHeight="1">
      <c r="A37" s="28">
        <f t="shared" si="0"/>
        <v>9</v>
      </c>
      <c r="B37" s="29"/>
      <c r="C37" s="30"/>
      <c r="D37" s="31"/>
      <c r="E37" s="32"/>
      <c r="F37" s="33"/>
      <c r="G37" s="34"/>
      <c r="H37" s="27"/>
    </row>
    <row r="38" spans="1:8" ht="18" customHeight="1">
      <c r="A38" s="28">
        <f t="shared" si="0"/>
        <v>10</v>
      </c>
      <c r="B38" s="29"/>
      <c r="C38" s="30"/>
      <c r="D38" s="31"/>
      <c r="E38" s="32"/>
      <c r="F38" s="33"/>
      <c r="G38" s="34"/>
      <c r="H38" s="27"/>
    </row>
    <row r="39" spans="1:8" ht="18" customHeight="1">
      <c r="A39" s="28">
        <f t="shared" si="0"/>
        <v>11</v>
      </c>
      <c r="B39" s="29"/>
      <c r="C39" s="30"/>
      <c r="D39" s="31"/>
      <c r="E39" s="32"/>
      <c r="F39" s="33"/>
      <c r="G39" s="34"/>
      <c r="H39" s="27"/>
    </row>
    <row r="40" spans="1:8" ht="18" customHeight="1">
      <c r="A40" s="28">
        <f t="shared" si="0"/>
        <v>12</v>
      </c>
      <c r="B40" s="29"/>
      <c r="C40" s="30"/>
      <c r="D40" s="31"/>
      <c r="E40" s="32"/>
      <c r="F40" s="33"/>
      <c r="G40" s="34"/>
      <c r="H40" s="27"/>
    </row>
    <row r="41" spans="1:8" ht="18" customHeight="1">
      <c r="A41" s="28">
        <f t="shared" si="0"/>
        <v>13</v>
      </c>
      <c r="B41" s="29"/>
      <c r="C41" s="30"/>
      <c r="D41" s="31"/>
      <c r="E41" s="32"/>
      <c r="F41" s="33"/>
      <c r="G41" s="34"/>
      <c r="H41" s="27"/>
    </row>
    <row r="42" spans="1:8" ht="18" customHeight="1">
      <c r="A42" s="28">
        <f t="shared" si="0"/>
        <v>14</v>
      </c>
      <c r="B42" s="29"/>
      <c r="C42" s="30"/>
      <c r="D42" s="31"/>
      <c r="E42" s="32"/>
      <c r="F42" s="33"/>
      <c r="G42" s="34"/>
      <c r="H42" s="27"/>
    </row>
    <row r="43" spans="1:8" ht="18" customHeight="1">
      <c r="A43" s="28">
        <f t="shared" si="0"/>
        <v>15</v>
      </c>
      <c r="B43" s="29"/>
      <c r="C43" s="30"/>
      <c r="D43" s="31"/>
      <c r="E43" s="32"/>
      <c r="F43" s="33"/>
      <c r="G43" s="34"/>
      <c r="H43" s="27"/>
    </row>
    <row r="44" spans="1:8" ht="18" customHeight="1">
      <c r="A44" s="28">
        <f t="shared" si="0"/>
        <v>16</v>
      </c>
      <c r="B44" s="29"/>
      <c r="C44" s="30"/>
      <c r="D44" s="31"/>
      <c r="E44" s="32"/>
      <c r="F44" s="33"/>
      <c r="G44" s="34"/>
      <c r="H44" s="27"/>
    </row>
    <row r="45" spans="1:8" ht="18" customHeight="1">
      <c r="A45" s="28">
        <f t="shared" si="0"/>
        <v>17</v>
      </c>
      <c r="B45" s="29"/>
      <c r="C45" s="30"/>
      <c r="D45" s="31"/>
      <c r="E45" s="32"/>
      <c r="F45" s="33"/>
      <c r="G45" s="34"/>
      <c r="H45" s="27"/>
    </row>
    <row r="46" spans="1:8" ht="18" customHeight="1">
      <c r="A46" s="28">
        <f t="shared" si="0"/>
        <v>18</v>
      </c>
      <c r="B46" s="35"/>
      <c r="C46" s="36"/>
      <c r="D46" s="37"/>
      <c r="E46" s="32"/>
      <c r="F46" s="33"/>
      <c r="G46" s="34"/>
      <c r="H46" s="27"/>
    </row>
    <row r="47" spans="1:8" ht="18" customHeight="1">
      <c r="A47" s="28">
        <f t="shared" si="0"/>
        <v>19</v>
      </c>
      <c r="B47" s="29"/>
      <c r="C47" s="30"/>
      <c r="D47" s="37"/>
      <c r="E47" s="32"/>
      <c r="F47" s="33"/>
      <c r="G47" s="34"/>
      <c r="H47" s="27"/>
    </row>
    <row r="48" spans="1:8" ht="18" customHeight="1">
      <c r="A48" s="28">
        <f t="shared" si="0"/>
        <v>20</v>
      </c>
      <c r="B48" s="29"/>
      <c r="C48" s="30"/>
      <c r="D48" s="37"/>
      <c r="E48" s="32"/>
      <c r="F48" s="33"/>
      <c r="G48" s="34"/>
      <c r="H48" s="27"/>
    </row>
    <row r="49" spans="1:8" ht="18" customHeight="1">
      <c r="A49" s="28">
        <f t="shared" si="0"/>
        <v>21</v>
      </c>
      <c r="B49" s="38"/>
      <c r="C49" s="30"/>
      <c r="D49" s="37"/>
      <c r="E49" s="32"/>
      <c r="F49" s="33"/>
      <c r="G49" s="34"/>
      <c r="H49" s="27"/>
    </row>
    <row r="50" spans="1:8" ht="18" customHeight="1">
      <c r="A50" s="28">
        <f t="shared" si="0"/>
        <v>22</v>
      </c>
      <c r="B50" s="38"/>
      <c r="C50" s="30"/>
      <c r="D50" s="39"/>
      <c r="E50" s="32"/>
      <c r="F50" s="33"/>
      <c r="G50" s="34"/>
      <c r="H50" s="27"/>
    </row>
    <row r="51" spans="1:8" ht="18" customHeight="1">
      <c r="A51" s="28">
        <f t="shared" si="0"/>
        <v>23</v>
      </c>
      <c r="B51" s="38"/>
      <c r="C51" s="30"/>
      <c r="D51" s="31"/>
      <c r="E51" s="32"/>
      <c r="F51" s="33"/>
      <c r="G51" s="34"/>
      <c r="H51" s="27"/>
    </row>
    <row r="52" spans="1:8" ht="18" customHeight="1">
      <c r="A52" s="28">
        <f t="shared" si="0"/>
        <v>24</v>
      </c>
      <c r="B52" s="38"/>
      <c r="C52" s="30"/>
      <c r="D52" s="31"/>
      <c r="E52" s="32"/>
      <c r="F52" s="33"/>
      <c r="G52" s="34"/>
      <c r="H52" s="27"/>
    </row>
    <row r="53" spans="1:8" ht="18" customHeight="1">
      <c r="A53" s="28">
        <f t="shared" si="0"/>
        <v>25</v>
      </c>
      <c r="B53" s="40" t="s">
        <v>37</v>
      </c>
      <c r="C53" s="36">
        <f ca="1">ROUND(SUM(C28:INDEX(C:C,ROW()-1)),2)</f>
        <v>1</v>
      </c>
      <c r="D53" s="41">
        <f ca="1">ROUND(SUM(D28:INDEX(D:D,ROW()-1)),2)</f>
        <v>0</v>
      </c>
      <c r="E53" s="32">
        <f ca="1">ROUND(SUM(E28:INDEX(E:E,ROW()-1)),2)</f>
        <v>0</v>
      </c>
      <c r="F53" s="33">
        <f ca="1">SUM(F28:INDEX(F:F,ROW()-1))</f>
        <v>0</v>
      </c>
      <c r="G53" s="34">
        <f ca="1">IF(D53=0,0,F53/D53)</f>
        <v>0</v>
      </c>
      <c r="H53" s="42">
        <f ca="1">SUM(H28:INDEX(H:H,ROW()-1))</f>
        <v>0</v>
      </c>
    </row>
    <row r="54" spans="1:8" ht="18" customHeight="1">
      <c r="A54" s="28">
        <f t="shared" si="0"/>
        <v>26</v>
      </c>
      <c r="B54" s="40" t="s">
        <v>38</v>
      </c>
      <c r="C54" s="36"/>
      <c r="D54" s="37">
        <v>0</v>
      </c>
      <c r="E54" s="43"/>
      <c r="F54" s="44"/>
      <c r="G54" s="45"/>
      <c r="H54" s="42"/>
    </row>
    <row r="55" spans="1:8" ht="18" customHeight="1">
      <c r="A55" s="46">
        <f t="shared" si="0"/>
        <v>27</v>
      </c>
      <c r="B55" s="47" t="s">
        <v>39</v>
      </c>
      <c r="C55" s="48"/>
      <c r="D55" s="49">
        <f ca="1">ROUND(SUM(D53:D54),2)</f>
        <v>0</v>
      </c>
      <c r="E55" s="50"/>
      <c r="F55" s="51"/>
      <c r="G55" s="52"/>
      <c r="H55" s="53"/>
    </row>
    <row r="56" spans="1:8" ht="18" customHeight="1">
      <c r="A56" s="46">
        <f t="shared" si="0"/>
        <v>28</v>
      </c>
      <c r="B56" s="47" t="s">
        <v>40</v>
      </c>
      <c r="C56" s="295" t="str">
        <f ca="1">TEXT(SUBSTITUTE(IF(D55="","",IF(MOD(D55,1)=0,TEXT(INT(D55),"[DBNum2][$-804]G/通用格式元整"),(TEXT(INT(D55),"[DBNum2][$-804]G/通用格式元")&amp;TEXT((INT(D55*10)-INT(D55)*10),"[DBNum2][$-804]G/通用格式角")&amp;TEXT((INT(D55*100)-INT(D55*10)*10),"[DBNum2][$-804]G/通用格式分")))),"零角","零"),)</f>
        <v>零元整</v>
      </c>
      <c r="D56" s="296"/>
      <c r="E56" s="4"/>
      <c r="F56" s="4"/>
      <c r="G56" s="4"/>
      <c r="H56" s="5"/>
    </row>
    <row r="57" spans="1:8" ht="18" customHeight="1">
      <c r="A57" s="297" t="s">
        <v>41</v>
      </c>
      <c r="B57" s="299"/>
      <c r="C57" s="300"/>
      <c r="D57" s="301"/>
      <c r="E57" s="4"/>
      <c r="F57" s="4"/>
      <c r="G57" s="4"/>
      <c r="H57" s="5"/>
    </row>
    <row r="58" spans="1:8" ht="18" customHeight="1">
      <c r="A58" s="298"/>
      <c r="B58" s="302"/>
      <c r="C58" s="303"/>
      <c r="D58" s="304"/>
      <c r="E58" s="4"/>
      <c r="F58" s="4"/>
      <c r="G58" s="4"/>
      <c r="H58" s="5"/>
    </row>
    <row r="59" spans="1:8" ht="18" customHeight="1">
      <c r="A59" s="54"/>
      <c r="B59" s="55"/>
      <c r="C59" s="55"/>
      <c r="D59" s="56"/>
      <c r="H59" s="1"/>
    </row>
  </sheetData>
  <mergeCells count="30">
    <mergeCell ref="B25:D25"/>
    <mergeCell ref="B26:D26"/>
    <mergeCell ref="A27:D27"/>
    <mergeCell ref="C56:D56"/>
    <mergeCell ref="A57:A58"/>
    <mergeCell ref="B57:D58"/>
    <mergeCell ref="B24:D24"/>
    <mergeCell ref="A13:D13"/>
    <mergeCell ref="B14:D14"/>
    <mergeCell ref="B15:D15"/>
    <mergeCell ref="B16:D16"/>
    <mergeCell ref="B17:D17"/>
    <mergeCell ref="B18:D18"/>
    <mergeCell ref="B19:D19"/>
    <mergeCell ref="B20:D20"/>
    <mergeCell ref="A21:D21"/>
    <mergeCell ref="B22:D22"/>
    <mergeCell ref="B23:D23"/>
    <mergeCell ref="B12:D12"/>
    <mergeCell ref="A1:D1"/>
    <mergeCell ref="A2:D2"/>
    <mergeCell ref="A4:D4"/>
    <mergeCell ref="E4:F4"/>
    <mergeCell ref="B5:D5"/>
    <mergeCell ref="B6:D6"/>
    <mergeCell ref="B7:D7"/>
    <mergeCell ref="B8:D8"/>
    <mergeCell ref="B9:D9"/>
    <mergeCell ref="B10:D10"/>
    <mergeCell ref="B11:D11"/>
  </mergeCells>
  <phoneticPr fontId="1" type="noConversion"/>
  <dataValidations disablePrompts="1" count="1">
    <dataValidation type="list" allowBlank="1" showInputMessage="1" showErrorMessage="1" sqref="H29:H52" xr:uid="{6DBFB6B5-6B2F-497F-B2A3-DFA5C9249B6D}">
      <formula1>"常规,箱变"</formula1>
    </dataValidation>
  </dataValidations>
  <hyperlinks>
    <hyperlink ref="A29" location="folderTablefde937420be6433383ffe23c6ac3a25c" tooltip="点击进入本分类报价清单" display="folderTablefde937420be6433383ffe23c6ac3a25c" xr:uid="{63586F4E-FBC1-470A-90D3-F34185FAD702}"/>
  </hyperlinks>
  <pageMargins left="0.7" right="0.7" top="0.75" bottom="0.75" header="0.3" footer="0.3"/>
  <customProperties>
    <customPr name="FIXPROJECTID" r:id="rId1"/>
    <customPr name="PROJECTTYPE" r:id="rId2"/>
    <customPr name="SCMDATA" r:id="rId3"/>
    <customPr name="SCMPROJECTID" r:id="rId4"/>
  </customPropertie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2C16-0E02-45B5-8A6E-93E7DC082CF9}">
  <dimension ref="A1:AB75"/>
  <sheetViews>
    <sheetView showGridLines="0" tabSelected="1" topLeftCell="H33" workbookViewId="0">
      <selection activeCell="AC45" sqref="AC45"/>
    </sheetView>
  </sheetViews>
  <sheetFormatPr defaultRowHeight="18" customHeight="1"/>
  <cols>
    <col min="1" max="1" width="5" customWidth="1"/>
    <col min="2" max="2" width="13.625" customWidth="1"/>
    <col min="3" max="3" width="19.375" customWidth="1"/>
    <col min="4" max="4" width="13.5" customWidth="1"/>
    <col min="5" max="6" width="5.25" customWidth="1"/>
    <col min="7" max="11" width="12.625" customWidth="1"/>
    <col min="12" max="12" width="7.5" customWidth="1"/>
    <col min="13" max="13" width="12.625" customWidth="1"/>
    <col min="14" max="14" width="9.75" customWidth="1"/>
    <col min="15" max="15" width="7.5" customWidth="1"/>
    <col min="16" max="16" width="12.625" customWidth="1"/>
    <col min="17" max="17" width="6" customWidth="1"/>
    <col min="18" max="18" width="9" customWidth="1"/>
    <col min="19" max="20" width="8.75" customWidth="1"/>
    <col min="22" max="22" width="9" customWidth="1"/>
    <col min="25" max="25" width="9" customWidth="1"/>
  </cols>
  <sheetData>
    <row r="1" spans="1:17" ht="18" customHeight="1">
      <c r="A1" s="57"/>
      <c r="F1" s="58"/>
      <c r="I1" s="58"/>
    </row>
    <row r="2" spans="1:17" ht="18" customHeight="1">
      <c r="A2" s="251" t="str">
        <f ca="1">T(INDIRECT("项目信息!B22"))</f>
        <v>扬州华科</v>
      </c>
      <c r="B2" s="251"/>
      <c r="C2" s="251"/>
      <c r="D2" s="251"/>
      <c r="E2" s="251"/>
      <c r="F2" s="251"/>
      <c r="G2" s="251"/>
      <c r="H2" s="251"/>
      <c r="I2" s="251"/>
    </row>
    <row r="3" spans="1:17" ht="18" customHeight="1">
      <c r="A3" s="251" t="str">
        <f ca="1">T(INDIRECT("项目信息!B23"))</f>
        <v/>
      </c>
      <c r="B3" s="251"/>
      <c r="C3" s="251"/>
      <c r="D3" s="251"/>
      <c r="E3" s="251"/>
      <c r="F3" s="251"/>
      <c r="G3" s="251"/>
      <c r="H3" s="251"/>
      <c r="I3" s="251"/>
    </row>
    <row r="4" spans="1:17" ht="18" customHeight="1">
      <c r="A4" s="252" t="s">
        <v>42</v>
      </c>
      <c r="B4" s="253"/>
      <c r="C4" s="253"/>
      <c r="D4" s="253"/>
      <c r="E4" s="253"/>
      <c r="F4" s="253"/>
      <c r="G4" s="253"/>
      <c r="H4" s="253"/>
      <c r="I4" s="253"/>
    </row>
    <row r="5" spans="1:17" ht="18" customHeight="1">
      <c r="A5" s="254" t="str" cm="1">
        <f t="array" aca="1" ref="A5" ca="1">CONCATENATE("项目名称:",INDIRECT("项目信息!$B$5"))</f>
        <v>项目名称:</v>
      </c>
      <c r="B5" s="255"/>
      <c r="C5" s="255"/>
      <c r="D5" s="255"/>
      <c r="E5" s="255"/>
      <c r="F5" s="255"/>
      <c r="G5" s="256"/>
      <c r="H5" s="257" t="str">
        <f ca="1">CONCATENATE("报价序号:", INDIRECT("'项目信息'!B7"))</f>
        <v>报价序号:</v>
      </c>
      <c r="I5" s="258"/>
      <c r="J5" s="4"/>
      <c r="K5" s="4"/>
      <c r="L5" s="4"/>
      <c r="M5" s="4"/>
      <c r="N5" s="4"/>
      <c r="O5" s="4"/>
      <c r="P5" s="4"/>
      <c r="Q5" s="4"/>
    </row>
    <row r="6" spans="1:17" ht="18" customHeight="1">
      <c r="A6" s="15" t="s">
        <v>0</v>
      </c>
      <c r="B6" s="59" t="s">
        <v>43</v>
      </c>
      <c r="C6" s="59" t="s">
        <v>44</v>
      </c>
      <c r="D6" s="59" t="s">
        <v>45</v>
      </c>
      <c r="E6" s="60" t="s">
        <v>46</v>
      </c>
      <c r="F6" s="60" t="s">
        <v>47</v>
      </c>
      <c r="G6" s="61" t="s">
        <v>48</v>
      </c>
      <c r="H6" s="17" t="s">
        <v>1</v>
      </c>
      <c r="I6" s="59" t="s">
        <v>49</v>
      </c>
      <c r="J6" s="18" t="s">
        <v>50</v>
      </c>
      <c r="K6" s="19" t="s">
        <v>2</v>
      </c>
      <c r="L6" s="20" t="s">
        <v>3</v>
      </c>
      <c r="M6" s="62" t="s">
        <v>51</v>
      </c>
      <c r="N6" s="62" t="s">
        <v>52</v>
      </c>
      <c r="O6" s="63" t="s">
        <v>53</v>
      </c>
      <c r="P6" s="63" t="s">
        <v>53</v>
      </c>
      <c r="Q6" s="62" t="s">
        <v>54</v>
      </c>
    </row>
    <row r="7" spans="1:17" ht="18" customHeight="1">
      <c r="A7" s="248">
        <f>ROW()-ROW(A$6)</f>
        <v>1</v>
      </c>
      <c r="B7" s="67" t="s">
        <v>95</v>
      </c>
      <c r="C7" s="67"/>
      <c r="D7" s="67"/>
      <c r="E7" s="68" t="s">
        <v>96</v>
      </c>
      <c r="F7" s="68">
        <v>1</v>
      </c>
      <c r="G7" s="109">
        <f>G71</f>
        <v>0</v>
      </c>
      <c r="H7" s="109">
        <f>F7*G7</f>
        <v>0</v>
      </c>
      <c r="I7" s="69"/>
      <c r="J7" s="115">
        <f>K71</f>
        <v>0</v>
      </c>
      <c r="K7" s="117">
        <f>H7-J7</f>
        <v>0</v>
      </c>
      <c r="L7" s="70">
        <f>IF(H7=0,0,K7/H7)</f>
        <v>0</v>
      </c>
      <c r="M7" s="71"/>
      <c r="N7" s="72"/>
      <c r="O7" s="73"/>
      <c r="P7" s="74"/>
      <c r="Q7" s="75"/>
    </row>
    <row r="8" spans="1:17" ht="18" customHeight="1">
      <c r="A8" s="46">
        <f t="shared" ref="A8:A35" si="0">ROW()-ROW(A$6)</f>
        <v>2</v>
      </c>
      <c r="B8" s="67"/>
      <c r="C8" s="67"/>
      <c r="D8" s="67"/>
      <c r="E8" s="68"/>
      <c r="F8" s="68"/>
      <c r="G8" s="109"/>
      <c r="H8" s="109"/>
      <c r="I8" s="69"/>
      <c r="J8" s="115"/>
      <c r="K8" s="117"/>
      <c r="L8" s="70"/>
      <c r="M8" s="71"/>
      <c r="N8" s="72"/>
      <c r="O8" s="73"/>
      <c r="P8" s="74"/>
      <c r="Q8" s="75"/>
    </row>
    <row r="9" spans="1:17" ht="18" customHeight="1">
      <c r="A9" s="46">
        <f t="shared" si="0"/>
        <v>3</v>
      </c>
      <c r="B9" s="76"/>
      <c r="C9" s="76"/>
      <c r="D9" s="76"/>
      <c r="E9" s="77"/>
      <c r="F9" s="68"/>
      <c r="G9" s="109"/>
      <c r="H9" s="109"/>
      <c r="I9" s="69"/>
      <c r="J9" s="115"/>
      <c r="K9" s="117"/>
      <c r="L9" s="78"/>
      <c r="M9" s="71"/>
      <c r="N9" s="72"/>
      <c r="O9" s="73"/>
      <c r="P9" s="74"/>
      <c r="Q9" s="75"/>
    </row>
    <row r="10" spans="1:17" ht="18" customHeight="1">
      <c r="A10" s="46">
        <f t="shared" si="0"/>
        <v>4</v>
      </c>
      <c r="B10" s="67"/>
      <c r="C10" s="67"/>
      <c r="D10" s="67"/>
      <c r="E10" s="68"/>
      <c r="F10" s="68"/>
      <c r="G10" s="109"/>
      <c r="H10" s="109"/>
      <c r="I10" s="69"/>
      <c r="J10" s="115"/>
      <c r="K10" s="117"/>
      <c r="L10" s="70"/>
      <c r="M10" s="71"/>
      <c r="N10" s="72"/>
      <c r="O10" s="73"/>
      <c r="P10" s="74"/>
      <c r="Q10" s="75"/>
    </row>
    <row r="11" spans="1:17" ht="18" customHeight="1">
      <c r="A11" s="46">
        <f t="shared" si="0"/>
        <v>5</v>
      </c>
      <c r="B11" s="67"/>
      <c r="C11" s="67"/>
      <c r="D11" s="67"/>
      <c r="E11" s="68"/>
      <c r="F11" s="68"/>
      <c r="G11" s="109"/>
      <c r="H11" s="109"/>
      <c r="I11" s="69"/>
      <c r="J11" s="115"/>
      <c r="K11" s="117"/>
      <c r="L11" s="70"/>
      <c r="M11" s="71"/>
      <c r="N11" s="72"/>
      <c r="O11" s="73"/>
      <c r="P11" s="74"/>
      <c r="Q11" s="75"/>
    </row>
    <row r="12" spans="1:17" ht="18" customHeight="1">
      <c r="A12" s="46">
        <f t="shared" si="0"/>
        <v>6</v>
      </c>
      <c r="B12" s="67"/>
      <c r="C12" s="67"/>
      <c r="D12" s="67"/>
      <c r="E12" s="68"/>
      <c r="F12" s="68"/>
      <c r="G12" s="109"/>
      <c r="H12" s="109"/>
      <c r="I12" s="69"/>
      <c r="J12" s="115"/>
      <c r="K12" s="117"/>
      <c r="L12" s="70"/>
      <c r="M12" s="71"/>
      <c r="N12" s="72"/>
      <c r="O12" s="73"/>
      <c r="P12" s="74"/>
      <c r="Q12" s="75"/>
    </row>
    <row r="13" spans="1:17" ht="18" customHeight="1">
      <c r="A13" s="46">
        <f t="shared" si="0"/>
        <v>7</v>
      </c>
      <c r="B13" s="67"/>
      <c r="C13" s="67"/>
      <c r="D13" s="67"/>
      <c r="E13" s="68"/>
      <c r="F13" s="68"/>
      <c r="G13" s="109"/>
      <c r="H13" s="109"/>
      <c r="I13" s="69"/>
      <c r="J13" s="115"/>
      <c r="K13" s="117"/>
      <c r="L13" s="70"/>
      <c r="M13" s="71"/>
      <c r="N13" s="72"/>
      <c r="O13" s="73"/>
      <c r="P13" s="74"/>
      <c r="Q13" s="75"/>
    </row>
    <row r="14" spans="1:17" ht="18" customHeight="1">
      <c r="A14" s="46">
        <f t="shared" si="0"/>
        <v>8</v>
      </c>
      <c r="B14" s="67"/>
      <c r="C14" s="67"/>
      <c r="D14" s="67"/>
      <c r="E14" s="68"/>
      <c r="F14" s="68"/>
      <c r="G14" s="109"/>
      <c r="H14" s="109"/>
      <c r="I14" s="69"/>
      <c r="J14" s="115"/>
      <c r="K14" s="117"/>
      <c r="L14" s="70"/>
      <c r="M14" s="71"/>
      <c r="N14" s="72"/>
      <c r="O14" s="73"/>
      <c r="P14" s="74"/>
      <c r="Q14" s="75"/>
    </row>
    <row r="15" spans="1:17" ht="18" customHeight="1">
      <c r="A15" s="46">
        <f t="shared" si="0"/>
        <v>9</v>
      </c>
      <c r="B15" s="67"/>
      <c r="C15" s="67"/>
      <c r="D15" s="67"/>
      <c r="E15" s="68"/>
      <c r="F15" s="68"/>
      <c r="G15" s="109"/>
      <c r="H15" s="109"/>
      <c r="I15" s="69"/>
      <c r="J15" s="115"/>
      <c r="K15" s="117"/>
      <c r="L15" s="70"/>
      <c r="M15" s="71"/>
      <c r="N15" s="72"/>
      <c r="O15" s="73"/>
      <c r="P15" s="74"/>
      <c r="Q15" s="75"/>
    </row>
    <row r="16" spans="1:17" ht="18" customHeight="1">
      <c r="A16" s="46">
        <f t="shared" si="0"/>
        <v>10</v>
      </c>
      <c r="B16" s="67"/>
      <c r="C16" s="67"/>
      <c r="D16" s="67"/>
      <c r="E16" s="68"/>
      <c r="F16" s="68"/>
      <c r="G16" s="109"/>
      <c r="H16" s="109"/>
      <c r="I16" s="69"/>
      <c r="J16" s="115"/>
      <c r="K16" s="117"/>
      <c r="L16" s="70"/>
      <c r="M16" s="71"/>
      <c r="N16" s="72"/>
      <c r="O16" s="73"/>
      <c r="P16" s="74"/>
      <c r="Q16" s="75"/>
    </row>
    <row r="17" spans="1:17" ht="18" customHeight="1">
      <c r="A17" s="46">
        <f t="shared" si="0"/>
        <v>11</v>
      </c>
      <c r="B17" s="67"/>
      <c r="C17" s="67"/>
      <c r="D17" s="67"/>
      <c r="E17" s="68"/>
      <c r="F17" s="79"/>
      <c r="G17" s="109"/>
      <c r="H17" s="109"/>
      <c r="I17" s="69"/>
      <c r="J17" s="115"/>
      <c r="K17" s="117"/>
      <c r="L17" s="70"/>
      <c r="M17" s="71"/>
      <c r="N17" s="72"/>
      <c r="O17" s="73"/>
      <c r="P17" s="74"/>
      <c r="Q17" s="75"/>
    </row>
    <row r="18" spans="1:17" ht="18" customHeight="1">
      <c r="A18" s="46">
        <f t="shared" si="0"/>
        <v>12</v>
      </c>
      <c r="B18" s="67"/>
      <c r="C18" s="67"/>
      <c r="D18" s="67"/>
      <c r="E18" s="68"/>
      <c r="F18" s="79"/>
      <c r="G18" s="109"/>
      <c r="H18" s="109"/>
      <c r="I18" s="69"/>
      <c r="J18" s="115"/>
      <c r="K18" s="117"/>
      <c r="L18" s="70"/>
      <c r="M18" s="71"/>
      <c r="N18" s="72"/>
      <c r="O18" s="73"/>
      <c r="P18" s="74"/>
      <c r="Q18" s="75"/>
    </row>
    <row r="19" spans="1:17" ht="18" customHeight="1">
      <c r="A19" s="46">
        <f t="shared" si="0"/>
        <v>13</v>
      </c>
      <c r="B19" s="67"/>
      <c r="C19" s="67"/>
      <c r="D19" s="67"/>
      <c r="E19" s="68"/>
      <c r="F19" s="79"/>
      <c r="G19" s="109"/>
      <c r="H19" s="109"/>
      <c r="I19" s="69"/>
      <c r="J19" s="115"/>
      <c r="K19" s="117"/>
      <c r="L19" s="70"/>
      <c r="M19" s="71"/>
      <c r="N19" s="72"/>
      <c r="O19" s="73"/>
      <c r="P19" s="74"/>
      <c r="Q19" s="75"/>
    </row>
    <row r="20" spans="1:17" ht="18" customHeight="1">
      <c r="A20" s="46">
        <f t="shared" si="0"/>
        <v>14</v>
      </c>
      <c r="B20" s="67"/>
      <c r="C20" s="67"/>
      <c r="D20" s="67"/>
      <c r="E20" s="68"/>
      <c r="F20" s="79"/>
      <c r="G20" s="109"/>
      <c r="H20" s="109"/>
      <c r="I20" s="69"/>
      <c r="J20" s="115"/>
      <c r="K20" s="117"/>
      <c r="L20" s="70"/>
      <c r="M20" s="71"/>
      <c r="N20" s="72"/>
      <c r="O20" s="73"/>
      <c r="P20" s="74"/>
      <c r="Q20" s="75"/>
    </row>
    <row r="21" spans="1:17" ht="18" customHeight="1">
      <c r="A21" s="46">
        <f t="shared" si="0"/>
        <v>15</v>
      </c>
      <c r="B21" s="67"/>
      <c r="C21" s="67"/>
      <c r="D21" s="67"/>
      <c r="E21" s="68"/>
      <c r="F21" s="79"/>
      <c r="G21" s="109"/>
      <c r="H21" s="109"/>
      <c r="I21" s="69"/>
      <c r="J21" s="115"/>
      <c r="K21" s="117"/>
      <c r="L21" s="70"/>
      <c r="M21" s="71"/>
      <c r="N21" s="72"/>
      <c r="O21" s="73"/>
      <c r="P21" s="74"/>
      <c r="Q21" s="75"/>
    </row>
    <row r="22" spans="1:17" ht="18" customHeight="1">
      <c r="A22" s="46">
        <f t="shared" si="0"/>
        <v>16</v>
      </c>
      <c r="B22" s="67"/>
      <c r="C22" s="67"/>
      <c r="D22" s="67"/>
      <c r="E22" s="68"/>
      <c r="F22" s="68"/>
      <c r="G22" s="109"/>
      <c r="H22" s="109"/>
      <c r="I22" s="69"/>
      <c r="J22" s="115"/>
      <c r="K22" s="117"/>
      <c r="L22" s="70"/>
      <c r="M22" s="71"/>
      <c r="N22" s="72"/>
      <c r="O22" s="73"/>
      <c r="P22" s="74"/>
      <c r="Q22" s="75"/>
    </row>
    <row r="23" spans="1:17" ht="18" customHeight="1">
      <c r="A23" s="46">
        <f t="shared" si="0"/>
        <v>17</v>
      </c>
      <c r="B23" s="67"/>
      <c r="C23" s="67"/>
      <c r="D23" s="67"/>
      <c r="E23" s="68"/>
      <c r="F23" s="68"/>
      <c r="G23" s="109"/>
      <c r="H23" s="109"/>
      <c r="I23" s="69"/>
      <c r="J23" s="115"/>
      <c r="K23" s="117"/>
      <c r="L23" s="70"/>
      <c r="M23" s="71"/>
      <c r="N23" s="72"/>
      <c r="O23" s="73"/>
      <c r="P23" s="74"/>
      <c r="Q23" s="75"/>
    </row>
    <row r="24" spans="1:17" ht="18" customHeight="1">
      <c r="A24" s="46">
        <f t="shared" si="0"/>
        <v>18</v>
      </c>
      <c r="B24" s="76"/>
      <c r="C24" s="76"/>
      <c r="D24" s="67"/>
      <c r="E24" s="77"/>
      <c r="F24" s="77"/>
      <c r="G24" s="110"/>
      <c r="H24" s="110"/>
      <c r="I24" s="69"/>
      <c r="J24" s="115"/>
      <c r="K24" s="117"/>
      <c r="L24" s="70"/>
      <c r="M24" s="71"/>
      <c r="N24" s="72"/>
      <c r="O24" s="73"/>
      <c r="P24" s="74"/>
      <c r="Q24" s="75"/>
    </row>
    <row r="25" spans="1:17" ht="18" customHeight="1">
      <c r="A25" s="46">
        <f t="shared" si="0"/>
        <v>19</v>
      </c>
      <c r="B25" s="67"/>
      <c r="C25" s="67"/>
      <c r="D25" s="67"/>
      <c r="E25" s="77"/>
      <c r="F25" s="80"/>
      <c r="G25" s="110"/>
      <c r="H25" s="110"/>
      <c r="I25" s="69"/>
      <c r="J25" s="115"/>
      <c r="K25" s="117"/>
      <c r="L25" s="70"/>
      <c r="M25" s="71"/>
      <c r="N25" s="72"/>
      <c r="O25" s="73"/>
      <c r="P25" s="74"/>
      <c r="Q25" s="75"/>
    </row>
    <row r="26" spans="1:17" ht="18" customHeight="1">
      <c r="A26" s="46">
        <f t="shared" si="0"/>
        <v>20</v>
      </c>
      <c r="B26" s="67"/>
      <c r="C26" s="67"/>
      <c r="D26" s="67"/>
      <c r="E26" s="77"/>
      <c r="F26" s="80"/>
      <c r="G26" s="110"/>
      <c r="H26" s="110"/>
      <c r="I26" s="69"/>
      <c r="J26" s="115"/>
      <c r="K26" s="117"/>
      <c r="L26" s="70"/>
      <c r="M26" s="71"/>
      <c r="N26" s="72"/>
      <c r="O26" s="73"/>
      <c r="P26" s="74"/>
      <c r="Q26" s="75"/>
    </row>
    <row r="27" spans="1:17" ht="18" customHeight="1">
      <c r="A27" s="46">
        <f t="shared" si="0"/>
        <v>21</v>
      </c>
      <c r="B27" s="67"/>
      <c r="C27" s="67"/>
      <c r="D27" s="67"/>
      <c r="E27" s="68"/>
      <c r="F27" s="68"/>
      <c r="G27" s="109"/>
      <c r="H27" s="109"/>
      <c r="I27" s="69"/>
      <c r="J27" s="115"/>
      <c r="K27" s="117"/>
      <c r="L27" s="70"/>
      <c r="M27" s="71"/>
      <c r="N27" s="72"/>
      <c r="O27" s="73"/>
      <c r="P27" s="74"/>
      <c r="Q27" s="75"/>
    </row>
    <row r="28" spans="1:17" ht="18" customHeight="1">
      <c r="A28" s="46">
        <f t="shared" si="0"/>
        <v>22</v>
      </c>
      <c r="B28" s="67"/>
      <c r="C28" s="67"/>
      <c r="D28" s="67"/>
      <c r="E28" s="68"/>
      <c r="F28" s="68"/>
      <c r="G28" s="109"/>
      <c r="H28" s="109"/>
      <c r="I28" s="69"/>
      <c r="J28" s="115"/>
      <c r="K28" s="117"/>
      <c r="L28" s="70"/>
      <c r="M28" s="71"/>
      <c r="N28" s="72"/>
      <c r="O28" s="73"/>
      <c r="P28" s="74"/>
      <c r="Q28" s="75"/>
    </row>
    <row r="29" spans="1:17" ht="18" customHeight="1">
      <c r="A29" s="46">
        <f t="shared" si="0"/>
        <v>23</v>
      </c>
      <c r="B29" s="67"/>
      <c r="C29" s="67"/>
      <c r="D29" s="67"/>
      <c r="E29" s="68"/>
      <c r="F29" s="68"/>
      <c r="G29" s="109"/>
      <c r="H29" s="109"/>
      <c r="I29" s="69"/>
      <c r="J29" s="115"/>
      <c r="K29" s="117"/>
      <c r="L29" s="70"/>
      <c r="M29" s="71"/>
      <c r="N29" s="72"/>
      <c r="O29" s="73"/>
      <c r="P29" s="74"/>
      <c r="Q29" s="75"/>
    </row>
    <row r="30" spans="1:17" ht="18" customHeight="1">
      <c r="A30" s="46">
        <f t="shared" si="0"/>
        <v>24</v>
      </c>
      <c r="B30" s="67"/>
      <c r="C30" s="67"/>
      <c r="D30" s="67"/>
      <c r="E30" s="68"/>
      <c r="F30" s="68"/>
      <c r="G30" s="109"/>
      <c r="H30" s="109"/>
      <c r="I30" s="69"/>
      <c r="J30" s="115"/>
      <c r="K30" s="117"/>
      <c r="L30" s="70"/>
      <c r="M30" s="71"/>
      <c r="N30" s="72"/>
      <c r="O30" s="73"/>
      <c r="P30" s="74"/>
      <c r="Q30" s="75"/>
    </row>
    <row r="31" spans="1:17" ht="18" customHeight="1">
      <c r="A31" s="46">
        <f t="shared" si="0"/>
        <v>25</v>
      </c>
      <c r="B31" s="81" t="s">
        <v>4</v>
      </c>
      <c r="C31" s="81"/>
      <c r="D31" s="82"/>
      <c r="E31" s="83" t="s">
        <v>55</v>
      </c>
      <c r="F31" s="83">
        <f>SUM(F6:INDEX(F:F,ROW()-1))</f>
        <v>1</v>
      </c>
      <c r="G31" s="111"/>
      <c r="H31" s="112">
        <f>ROUND(SUM(H6:INDEX(H:H,ROW()-1)),2)</f>
        <v>0</v>
      </c>
      <c r="I31" s="84"/>
      <c r="J31" s="115">
        <f>ROUND(SUM(J6:INDEX(J:J,ROW()-1)),2)</f>
        <v>0</v>
      </c>
      <c r="K31" s="117">
        <f>ROUND(SUM(K6:INDEX(K:K,ROW()-1)),2)</f>
        <v>0</v>
      </c>
      <c r="L31" s="70"/>
      <c r="M31" s="71"/>
      <c r="N31" s="72"/>
      <c r="O31" s="73"/>
      <c r="P31" s="74"/>
      <c r="Q31" s="75"/>
    </row>
    <row r="32" spans="1:17" ht="18" customHeight="1">
      <c r="A32" s="46">
        <f t="shared" si="0"/>
        <v>26</v>
      </c>
      <c r="B32" s="85" t="s">
        <v>56</v>
      </c>
      <c r="C32" s="85"/>
      <c r="D32" s="86"/>
      <c r="E32" s="83" t="s">
        <v>55</v>
      </c>
      <c r="F32" s="83">
        <v>1</v>
      </c>
      <c r="G32" s="112">
        <v>0</v>
      </c>
      <c r="H32" s="112">
        <f>ROUND(F32*G32,2)</f>
        <v>0</v>
      </c>
      <c r="I32" s="87"/>
      <c r="J32" s="115">
        <f>ROUND(H32,2)</f>
        <v>0</v>
      </c>
      <c r="K32" s="117"/>
      <c r="L32" s="70"/>
      <c r="M32" s="88"/>
      <c r="N32" s="89"/>
      <c r="O32" s="73"/>
      <c r="P32" s="74"/>
      <c r="Q32" s="90"/>
    </row>
    <row r="33" spans="1:28" ht="18" customHeight="1">
      <c r="A33" s="46">
        <f t="shared" si="0"/>
        <v>27</v>
      </c>
      <c r="B33" s="85" t="s">
        <v>57</v>
      </c>
      <c r="C33" s="85"/>
      <c r="D33" s="86"/>
      <c r="E33" s="83" t="s">
        <v>58</v>
      </c>
      <c r="F33" s="83">
        <v>1</v>
      </c>
      <c r="G33" s="112">
        <v>0</v>
      </c>
      <c r="H33" s="112">
        <f>ROUND(F33*G33,2)</f>
        <v>0</v>
      </c>
      <c r="I33" s="87"/>
      <c r="J33" s="115">
        <f>ROUND(H33,2)</f>
        <v>0</v>
      </c>
      <c r="K33" s="117"/>
      <c r="L33" s="70"/>
      <c r="M33" s="88"/>
      <c r="N33" s="89"/>
      <c r="O33" s="73"/>
      <c r="P33" s="74"/>
      <c r="Q33" s="90"/>
    </row>
    <row r="34" spans="1:28" ht="18" customHeight="1">
      <c r="A34" s="46">
        <f t="shared" si="0"/>
        <v>28</v>
      </c>
      <c r="B34" s="85" t="s">
        <v>59</v>
      </c>
      <c r="C34" s="85"/>
      <c r="D34" s="86"/>
      <c r="E34" s="83" t="s">
        <v>55</v>
      </c>
      <c r="F34" s="83">
        <v>1</v>
      </c>
      <c r="G34" s="112">
        <v>0</v>
      </c>
      <c r="H34" s="112">
        <f>ROUND(F34*G34,2)</f>
        <v>0</v>
      </c>
      <c r="I34" s="91"/>
      <c r="J34" s="115">
        <f>ROUND(H34,2)</f>
        <v>0</v>
      </c>
      <c r="K34" s="117"/>
      <c r="L34" s="70"/>
      <c r="M34" s="88"/>
      <c r="N34" s="89"/>
      <c r="O34" s="73"/>
      <c r="P34" s="74"/>
      <c r="Q34" s="90"/>
    </row>
    <row r="35" spans="1:28" ht="18" customHeight="1">
      <c r="A35" s="46">
        <f t="shared" si="0"/>
        <v>29</v>
      </c>
      <c r="B35" s="92" t="s">
        <v>60</v>
      </c>
      <c r="C35" s="259" t="str">
        <f ca="1">TEXT(SUBSTITUTE(IF(H35="","",IF(MOD(H35,1)=0,TEXT(INT(H35),"[DBNum2][$-804]G/通用格式元整"),(TEXT(INT(H35),"[DBNum2][$-804]G/通用格式元")&amp;TEXT((INT(H35*10)-INT(H35)*10),"[DBNum2][$-804]G/通用格式角")&amp;TEXT((INT(H35*100)-INT(H35*10)*10),"[DBNum2][$-804]G/通用格式分")))),"零角","零"),)</f>
        <v>零元整</v>
      </c>
      <c r="D35" s="260"/>
      <c r="E35" s="93"/>
      <c r="F35" s="94" t="str">
        <f ca="1">IF(INDIRECT("'项目信息'!H29")="箱变", 1, "")</f>
        <v/>
      </c>
      <c r="G35" s="113">
        <f>ROUND(SUM(H31:H34),2)</f>
        <v>0</v>
      </c>
      <c r="H35" s="113">
        <f ca="1">ROUND(IF(F35="",1,F35)*G35,2)</f>
        <v>0</v>
      </c>
      <c r="I35" s="95"/>
      <c r="J35" s="116">
        <f ca="1">ROUND(IF(F35="",1,F35)*SUM(J31:J34),2)</f>
        <v>0</v>
      </c>
      <c r="K35" s="118">
        <f ca="1">ROUND(IF(F35="",1,F35)*SUM(K31:K34),2)</f>
        <v>0</v>
      </c>
      <c r="L35" s="96">
        <f ca="1">IF(H35=0,0,K35/H35)</f>
        <v>0</v>
      </c>
      <c r="M35" s="97"/>
      <c r="N35" s="98"/>
      <c r="O35" s="99"/>
      <c r="P35" s="100"/>
      <c r="Q35" s="101"/>
    </row>
    <row r="36" spans="1:28" ht="18" customHeight="1">
      <c r="A36" s="261" t="s">
        <v>61</v>
      </c>
      <c r="B36" s="263"/>
      <c r="C36" s="264"/>
      <c r="D36" s="264"/>
      <c r="E36" s="264"/>
      <c r="F36" s="264"/>
      <c r="G36" s="265"/>
      <c r="H36" s="265"/>
      <c r="I36" s="266"/>
      <c r="J36" s="114"/>
      <c r="K36" s="114"/>
      <c r="L36" s="4"/>
      <c r="M36" s="4"/>
      <c r="N36" s="4"/>
      <c r="O36" s="4"/>
      <c r="P36" s="4"/>
      <c r="Q36" s="4"/>
    </row>
    <row r="37" spans="1:28" ht="18" customHeight="1">
      <c r="A37" s="262"/>
      <c r="B37" s="267"/>
      <c r="C37" s="267"/>
      <c r="D37" s="267"/>
      <c r="E37" s="267"/>
      <c r="F37" s="267"/>
      <c r="G37" s="268"/>
      <c r="H37" s="268"/>
      <c r="I37" s="269"/>
      <c r="J37" s="114"/>
      <c r="K37" s="114"/>
      <c r="L37" s="4"/>
      <c r="M37" s="4"/>
      <c r="N37" s="4"/>
      <c r="O37" s="4"/>
      <c r="P37" s="4"/>
      <c r="Q37" s="4"/>
    </row>
    <row r="38" spans="1:28" ht="18" customHeight="1">
      <c r="A38" s="103"/>
      <c r="B38" s="4"/>
      <c r="C38" s="4"/>
      <c r="D38" s="4"/>
      <c r="E38" s="4"/>
      <c r="F38" s="4"/>
      <c r="G38" s="114"/>
      <c r="H38" s="114"/>
      <c r="I38" s="104"/>
      <c r="J38" s="114"/>
      <c r="K38" s="114"/>
      <c r="L38" s="4"/>
      <c r="M38" s="4"/>
      <c r="N38" s="4"/>
      <c r="O38" s="4"/>
      <c r="P38" s="4"/>
      <c r="Q38" s="4"/>
    </row>
    <row r="39" spans="1:28" ht="18" customHeight="1">
      <c r="A39" s="103"/>
      <c r="B39" s="4"/>
      <c r="C39" s="4"/>
      <c r="D39" s="4"/>
      <c r="E39" s="4"/>
      <c r="F39" s="4"/>
      <c r="G39" s="114"/>
      <c r="H39" s="114"/>
      <c r="I39" s="4"/>
      <c r="J39" s="114"/>
      <c r="K39" s="114"/>
      <c r="L39" s="4"/>
      <c r="M39" s="4"/>
      <c r="N39" s="4"/>
      <c r="O39" s="4"/>
      <c r="P39" s="4"/>
      <c r="Q39" s="4"/>
    </row>
    <row r="40" spans="1:28" ht="18" customHeight="1">
      <c r="A40" s="105"/>
      <c r="B40" s="171" t="str" cm="1">
        <f t="array" aca="1" ref="B40" ca="1">CONCATENATE("报价人：", INDIRECT("项目信息!$B$8"))</f>
        <v>报价人：李四</v>
      </c>
      <c r="C40" s="54"/>
      <c r="D40" s="106"/>
      <c r="E40" s="106"/>
      <c r="F40" s="106"/>
      <c r="G40" s="104"/>
      <c r="H40" s="157" cm="1">
        <f t="array" aca="1" ref="H40" ca="1">INDIRECT("项目信息!$B$9")</f>
        <v>0</v>
      </c>
      <c r="I40" s="4"/>
      <c r="J40" s="4"/>
      <c r="K40" s="4"/>
      <c r="L40" s="4"/>
      <c r="M40" s="4"/>
      <c r="N40" s="4"/>
      <c r="O40" s="4"/>
      <c r="P40" s="4"/>
      <c r="Q40" s="4"/>
    </row>
    <row r="41" spans="1:28" ht="18" customHeight="1">
      <c r="A41" s="251" t="str">
        <f ca="1">T(INDIRECT("项目信息!B22"))</f>
        <v>扬州华科</v>
      </c>
      <c r="B41" s="251"/>
      <c r="C41" s="251"/>
      <c r="D41" s="251"/>
      <c r="E41" s="251"/>
      <c r="F41" s="251"/>
      <c r="G41" s="251"/>
      <c r="H41" s="251"/>
      <c r="I41" s="251"/>
      <c r="Q41" s="1"/>
      <c r="R41" s="1"/>
    </row>
    <row r="42" spans="1:28" ht="18" customHeight="1">
      <c r="A42" s="251" t="str">
        <f ca="1">T(INDIRECT("项目信息!B23"))</f>
        <v/>
      </c>
      <c r="B42" s="251"/>
      <c r="C42" s="251"/>
      <c r="D42" s="251"/>
      <c r="E42" s="251"/>
      <c r="F42" s="251"/>
      <c r="G42" s="251"/>
      <c r="H42" s="251"/>
      <c r="I42" s="251"/>
      <c r="Q42" s="1"/>
      <c r="R42" s="1"/>
    </row>
    <row r="43" spans="1:28" ht="18" customHeight="1">
      <c r="A43" s="270" t="s">
        <v>64</v>
      </c>
      <c r="B43" s="270"/>
      <c r="C43" s="270"/>
      <c r="D43" s="270"/>
      <c r="E43" s="270"/>
      <c r="F43" s="270"/>
      <c r="G43" s="270"/>
      <c r="H43" s="270"/>
      <c r="I43" s="270"/>
      <c r="Q43" s="1"/>
      <c r="R43" s="1"/>
    </row>
    <row r="44" spans="1:28" s="126" customFormat="1" ht="18" customHeight="1">
      <c r="A44" s="249" t="s">
        <v>91</v>
      </c>
      <c r="B44" s="119" t="s">
        <v>95</v>
      </c>
      <c r="C44" s="120" t="s">
        <v>65</v>
      </c>
      <c r="D44" s="250" t="s">
        <v>8</v>
      </c>
      <c r="E44" s="250"/>
      <c r="F44" s="121" t="s">
        <v>66</v>
      </c>
      <c r="G44" s="250" t="s">
        <v>8</v>
      </c>
      <c r="H44" s="250"/>
      <c r="I44" s="122" t="s">
        <v>8</v>
      </c>
      <c r="J44" s="123" t="s">
        <v>67</v>
      </c>
      <c r="K44" s="124" t="s">
        <v>8</v>
      </c>
      <c r="L44" s="123" t="s">
        <v>68</v>
      </c>
      <c r="M44" s="124" t="s">
        <v>8</v>
      </c>
      <c r="N44" s="125" t="s">
        <v>8</v>
      </c>
      <c r="Q44" s="5"/>
      <c r="R44" s="5"/>
    </row>
    <row r="45" spans="1:28" s="4" customFormat="1" ht="20.100000000000001" customHeight="1">
      <c r="A45" s="15" t="s">
        <v>29</v>
      </c>
      <c r="B45" s="16" t="s">
        <v>69</v>
      </c>
      <c r="C45" s="16" t="s">
        <v>70</v>
      </c>
      <c r="D45" s="127" t="s">
        <v>62</v>
      </c>
      <c r="E45" s="60" t="s">
        <v>71</v>
      </c>
      <c r="F45" s="60" t="s">
        <v>72</v>
      </c>
      <c r="G45" s="61" t="s">
        <v>73</v>
      </c>
      <c r="H45" s="17" t="s">
        <v>32</v>
      </c>
      <c r="I45" s="128" t="s">
        <v>74</v>
      </c>
      <c r="J45" s="129" t="s">
        <v>75</v>
      </c>
      <c r="K45" s="129" t="s">
        <v>76</v>
      </c>
      <c r="L45" s="130" t="s">
        <v>77</v>
      </c>
      <c r="M45" s="129" t="s">
        <v>78</v>
      </c>
      <c r="N45" s="130" t="s">
        <v>79</v>
      </c>
      <c r="O45" s="131" t="s">
        <v>80</v>
      </c>
      <c r="P45" s="129" t="s">
        <v>81</v>
      </c>
      <c r="Q45" s="132" t="s">
        <v>82</v>
      </c>
      <c r="R45" s="132" t="s">
        <v>83</v>
      </c>
      <c r="S45" s="132" t="s">
        <v>84</v>
      </c>
      <c r="T45" s="132" t="s">
        <v>85</v>
      </c>
      <c r="U45" s="133" t="s">
        <v>8</v>
      </c>
      <c r="W45" s="247" t="s">
        <v>150</v>
      </c>
      <c r="X45" s="247" t="s">
        <v>157</v>
      </c>
      <c r="Y45" s="247" t="s">
        <v>158</v>
      </c>
      <c r="Z45" s="247" t="s">
        <v>159</v>
      </c>
      <c r="AA45" s="247" t="s">
        <v>160</v>
      </c>
      <c r="AB45" s="247" t="s">
        <v>161</v>
      </c>
    </row>
    <row r="46" spans="1:28" s="4" customFormat="1" ht="18" customHeight="1">
      <c r="A46" s="64">
        <f t="shared" ref="A46:A63" si="1">ROW()-ROW(A$45)</f>
        <v>1</v>
      </c>
      <c r="B46" s="65" t="s">
        <v>8</v>
      </c>
      <c r="C46" s="65" t="s">
        <v>8</v>
      </c>
      <c r="D46" s="65" t="s">
        <v>8</v>
      </c>
      <c r="E46" s="66" t="str">
        <f t="shared" ref="E46:E63" si="2">IF(AND(B46="",C46=""),"","只")</f>
        <v/>
      </c>
      <c r="F46" s="66" t="str">
        <f t="shared" ref="F46:F63" si="3">IF(AND(B46="",C46=""),"",1)</f>
        <v/>
      </c>
      <c r="G46" s="108" t="str">
        <f t="shared" ref="G46:G63" si="4">IF(AND(B46="",C46=""),"",ROUND(M46*L46*N46,2))</f>
        <v/>
      </c>
      <c r="H46" s="108" t="str">
        <f t="shared" ref="H46:H63" si="5">IF(AND(B46="",C46=""),"",ROUND(F46*G46,2))</f>
        <v/>
      </c>
      <c r="I46" s="134" t="s">
        <v>8</v>
      </c>
      <c r="J46" s="159" t="str">
        <f t="shared" ref="J46:J63" si="6">IF(AND(B46="",C46=""),"",ROUND(M46*N46,2))</f>
        <v/>
      </c>
      <c r="K46" s="162" t="str">
        <f t="shared" ref="K46:K63" si="7">IF(AND(B46="",C46=""),"",ROUND(J46*F46,2))</f>
        <v/>
      </c>
      <c r="L46" s="135" t="str">
        <f t="shared" ref="L46:L63" si="8">IF(AND(B46="",C46=""),"",1)</f>
        <v/>
      </c>
      <c r="M46" s="165"/>
      <c r="N46" s="136" t="str">
        <f t="shared" ref="N46:N63" si="9">IF(AND(B46="",C46=""),"",1)</f>
        <v/>
      </c>
      <c r="O46" s="137"/>
      <c r="P46" s="168"/>
      <c r="Q46" s="138" t="str">
        <f t="shared" ref="Q46:Q63" si="10">IF(AND(B46="",C46=""),"","元件")</f>
        <v/>
      </c>
      <c r="R46" s="139" t="s">
        <v>8</v>
      </c>
      <c r="S46" s="140"/>
      <c r="T46" s="140"/>
      <c r="U46" s="141" t="s">
        <v>8</v>
      </c>
    </row>
    <row r="47" spans="1:28" s="4" customFormat="1" ht="18" customHeight="1">
      <c r="A47" s="46">
        <f t="shared" si="1"/>
        <v>2</v>
      </c>
      <c r="B47" s="76" t="s">
        <v>8</v>
      </c>
      <c r="C47" s="67" t="s">
        <v>8</v>
      </c>
      <c r="D47" s="76" t="s">
        <v>8</v>
      </c>
      <c r="E47" s="77" t="str">
        <f t="shared" si="2"/>
        <v/>
      </c>
      <c r="F47" s="68" t="str">
        <f t="shared" si="3"/>
        <v/>
      </c>
      <c r="G47" s="110" t="str">
        <f t="shared" si="4"/>
        <v/>
      </c>
      <c r="H47" s="109" t="str">
        <f t="shared" si="5"/>
        <v/>
      </c>
      <c r="I47" s="69" t="s">
        <v>8</v>
      </c>
      <c r="J47" s="160" t="str">
        <f t="shared" si="6"/>
        <v/>
      </c>
      <c r="K47" s="163" t="str">
        <f t="shared" si="7"/>
        <v/>
      </c>
      <c r="L47" s="135" t="str">
        <f t="shared" si="8"/>
        <v/>
      </c>
      <c r="M47" s="166"/>
      <c r="N47" s="136" t="str">
        <f t="shared" si="9"/>
        <v/>
      </c>
      <c r="O47" s="137"/>
      <c r="P47" s="169"/>
      <c r="Q47" s="138" t="str">
        <f t="shared" si="10"/>
        <v/>
      </c>
      <c r="R47" s="139" t="s">
        <v>8</v>
      </c>
      <c r="S47" s="140"/>
      <c r="T47" s="140"/>
      <c r="U47" s="141" t="s">
        <v>8</v>
      </c>
    </row>
    <row r="48" spans="1:28" s="4" customFormat="1" ht="18" customHeight="1">
      <c r="A48" s="46">
        <f t="shared" si="1"/>
        <v>3</v>
      </c>
      <c r="B48" s="76" t="s">
        <v>8</v>
      </c>
      <c r="C48" s="67" t="s">
        <v>8</v>
      </c>
      <c r="D48" s="76" t="s">
        <v>8</v>
      </c>
      <c r="E48" s="77" t="str">
        <f t="shared" si="2"/>
        <v/>
      </c>
      <c r="F48" s="68" t="str">
        <f t="shared" si="3"/>
        <v/>
      </c>
      <c r="G48" s="109" t="str">
        <f t="shared" si="4"/>
        <v/>
      </c>
      <c r="H48" s="109" t="str">
        <f t="shared" si="5"/>
        <v/>
      </c>
      <c r="I48" s="69" t="s">
        <v>8</v>
      </c>
      <c r="J48" s="160" t="str">
        <f t="shared" si="6"/>
        <v/>
      </c>
      <c r="K48" s="163" t="str">
        <f t="shared" si="7"/>
        <v/>
      </c>
      <c r="L48" s="135" t="str">
        <f t="shared" si="8"/>
        <v/>
      </c>
      <c r="M48" s="166"/>
      <c r="N48" s="136" t="str">
        <f t="shared" si="9"/>
        <v/>
      </c>
      <c r="O48" s="137"/>
      <c r="P48" s="169"/>
      <c r="Q48" s="138" t="str">
        <f t="shared" si="10"/>
        <v/>
      </c>
      <c r="R48" s="139" t="s">
        <v>8</v>
      </c>
      <c r="S48" s="140"/>
      <c r="T48" s="140"/>
      <c r="U48" s="141" t="s">
        <v>8</v>
      </c>
    </row>
    <row r="49" spans="1:21" s="4" customFormat="1" ht="18" customHeight="1">
      <c r="A49" s="46">
        <f t="shared" si="1"/>
        <v>4</v>
      </c>
      <c r="B49" s="67" t="s">
        <v>8</v>
      </c>
      <c r="C49" s="67" t="s">
        <v>8</v>
      </c>
      <c r="D49" s="67" t="s">
        <v>8</v>
      </c>
      <c r="E49" s="68" t="str">
        <f t="shared" si="2"/>
        <v/>
      </c>
      <c r="F49" s="68" t="str">
        <f t="shared" si="3"/>
        <v/>
      </c>
      <c r="G49" s="109" t="str">
        <f t="shared" si="4"/>
        <v/>
      </c>
      <c r="H49" s="109" t="str">
        <f t="shared" si="5"/>
        <v/>
      </c>
      <c r="I49" s="69" t="s">
        <v>8</v>
      </c>
      <c r="J49" s="160" t="str">
        <f t="shared" si="6"/>
        <v/>
      </c>
      <c r="K49" s="163" t="str">
        <f t="shared" si="7"/>
        <v/>
      </c>
      <c r="L49" s="135" t="str">
        <f t="shared" si="8"/>
        <v/>
      </c>
      <c r="M49" s="166"/>
      <c r="N49" s="136" t="str">
        <f t="shared" si="9"/>
        <v/>
      </c>
      <c r="O49" s="137"/>
      <c r="P49" s="169"/>
      <c r="Q49" s="138" t="str">
        <f t="shared" si="10"/>
        <v/>
      </c>
      <c r="R49" s="139" t="s">
        <v>8</v>
      </c>
      <c r="S49" s="140"/>
      <c r="T49" s="140"/>
      <c r="U49" s="141" t="s">
        <v>8</v>
      </c>
    </row>
    <row r="50" spans="1:21" s="4" customFormat="1" ht="18" customHeight="1">
      <c r="A50" s="46">
        <f t="shared" si="1"/>
        <v>5</v>
      </c>
      <c r="B50" s="76" t="s">
        <v>8</v>
      </c>
      <c r="C50" s="76" t="s">
        <v>8</v>
      </c>
      <c r="D50" s="76" t="s">
        <v>8</v>
      </c>
      <c r="E50" s="77" t="str">
        <f t="shared" si="2"/>
        <v/>
      </c>
      <c r="F50" s="77" t="str">
        <f t="shared" si="3"/>
        <v/>
      </c>
      <c r="G50" s="110" t="str">
        <f t="shared" si="4"/>
        <v/>
      </c>
      <c r="H50" s="109" t="str">
        <f t="shared" si="5"/>
        <v/>
      </c>
      <c r="I50" s="69" t="s">
        <v>8</v>
      </c>
      <c r="J50" s="160" t="str">
        <f t="shared" si="6"/>
        <v/>
      </c>
      <c r="K50" s="163" t="str">
        <f t="shared" si="7"/>
        <v/>
      </c>
      <c r="L50" s="135" t="str">
        <f t="shared" si="8"/>
        <v/>
      </c>
      <c r="M50" s="166"/>
      <c r="N50" s="136" t="str">
        <f t="shared" si="9"/>
        <v/>
      </c>
      <c r="O50" s="137"/>
      <c r="P50" s="169"/>
      <c r="Q50" s="138" t="str">
        <f t="shared" si="10"/>
        <v/>
      </c>
      <c r="R50" s="139" t="s">
        <v>8</v>
      </c>
      <c r="S50" s="140"/>
      <c r="T50" s="140"/>
      <c r="U50" s="141" t="s">
        <v>8</v>
      </c>
    </row>
    <row r="51" spans="1:21" s="4" customFormat="1" ht="18" customHeight="1">
      <c r="A51" s="46">
        <f t="shared" si="1"/>
        <v>6</v>
      </c>
      <c r="B51" s="76" t="s">
        <v>8</v>
      </c>
      <c r="C51" s="76" t="s">
        <v>8</v>
      </c>
      <c r="D51" s="76" t="s">
        <v>8</v>
      </c>
      <c r="E51" s="77" t="str">
        <f t="shared" si="2"/>
        <v/>
      </c>
      <c r="F51" s="77" t="str">
        <f t="shared" si="3"/>
        <v/>
      </c>
      <c r="G51" s="110" t="str">
        <f t="shared" si="4"/>
        <v/>
      </c>
      <c r="H51" s="109" t="str">
        <f t="shared" si="5"/>
        <v/>
      </c>
      <c r="I51" s="69" t="s">
        <v>8</v>
      </c>
      <c r="J51" s="160" t="str">
        <f t="shared" si="6"/>
        <v/>
      </c>
      <c r="K51" s="163" t="str">
        <f t="shared" si="7"/>
        <v/>
      </c>
      <c r="L51" s="135" t="str">
        <f t="shared" si="8"/>
        <v/>
      </c>
      <c r="M51" s="166"/>
      <c r="N51" s="136" t="str">
        <f t="shared" si="9"/>
        <v/>
      </c>
      <c r="O51" s="137"/>
      <c r="P51" s="169"/>
      <c r="Q51" s="138" t="str">
        <f t="shared" si="10"/>
        <v/>
      </c>
      <c r="R51" s="139" t="s">
        <v>8</v>
      </c>
      <c r="S51" s="140"/>
      <c r="T51" s="140"/>
      <c r="U51" s="141" t="s">
        <v>8</v>
      </c>
    </row>
    <row r="52" spans="1:21" s="4" customFormat="1" ht="18" customHeight="1">
      <c r="A52" s="46">
        <f t="shared" si="1"/>
        <v>7</v>
      </c>
      <c r="B52" s="76" t="s">
        <v>8</v>
      </c>
      <c r="C52" s="76" t="s">
        <v>8</v>
      </c>
      <c r="D52" s="76" t="s">
        <v>8</v>
      </c>
      <c r="E52" s="77" t="str">
        <f t="shared" si="2"/>
        <v/>
      </c>
      <c r="F52" s="77" t="str">
        <f t="shared" si="3"/>
        <v/>
      </c>
      <c r="G52" s="110" t="str">
        <f t="shared" si="4"/>
        <v/>
      </c>
      <c r="H52" s="110" t="str">
        <f t="shared" si="5"/>
        <v/>
      </c>
      <c r="I52" s="142" t="s">
        <v>8</v>
      </c>
      <c r="J52" s="160" t="str">
        <f t="shared" si="6"/>
        <v/>
      </c>
      <c r="K52" s="163" t="str">
        <f t="shared" si="7"/>
        <v/>
      </c>
      <c r="L52" s="135" t="str">
        <f t="shared" si="8"/>
        <v/>
      </c>
      <c r="M52" s="166"/>
      <c r="N52" s="136" t="str">
        <f t="shared" si="9"/>
        <v/>
      </c>
      <c r="O52" s="137"/>
      <c r="P52" s="169"/>
      <c r="Q52" s="138" t="str">
        <f t="shared" si="10"/>
        <v/>
      </c>
      <c r="R52" s="139" t="s">
        <v>8</v>
      </c>
      <c r="S52" s="140"/>
      <c r="T52" s="140"/>
      <c r="U52" s="141" t="s">
        <v>8</v>
      </c>
    </row>
    <row r="53" spans="1:21" s="4" customFormat="1" ht="18" customHeight="1">
      <c r="A53" s="46">
        <f t="shared" si="1"/>
        <v>8</v>
      </c>
      <c r="B53" s="76" t="s">
        <v>8</v>
      </c>
      <c r="C53" s="76" t="s">
        <v>8</v>
      </c>
      <c r="D53" s="76" t="s">
        <v>8</v>
      </c>
      <c r="E53" s="77" t="str">
        <f t="shared" si="2"/>
        <v/>
      </c>
      <c r="F53" s="77" t="str">
        <f t="shared" si="3"/>
        <v/>
      </c>
      <c r="G53" s="110" t="str">
        <f t="shared" si="4"/>
        <v/>
      </c>
      <c r="H53" s="110" t="str">
        <f t="shared" si="5"/>
        <v/>
      </c>
      <c r="I53" s="142" t="s">
        <v>8</v>
      </c>
      <c r="J53" s="160" t="str">
        <f t="shared" si="6"/>
        <v/>
      </c>
      <c r="K53" s="163" t="str">
        <f t="shared" si="7"/>
        <v/>
      </c>
      <c r="L53" s="135" t="str">
        <f t="shared" si="8"/>
        <v/>
      </c>
      <c r="M53" s="166"/>
      <c r="N53" s="136" t="str">
        <f t="shared" si="9"/>
        <v/>
      </c>
      <c r="O53" s="137"/>
      <c r="P53" s="169"/>
      <c r="Q53" s="138" t="str">
        <f t="shared" si="10"/>
        <v/>
      </c>
      <c r="R53" s="139" t="s">
        <v>8</v>
      </c>
      <c r="S53" s="140"/>
      <c r="T53" s="140"/>
      <c r="U53" s="141" t="s">
        <v>8</v>
      </c>
    </row>
    <row r="54" spans="1:21" s="4" customFormat="1" ht="18" customHeight="1">
      <c r="A54" s="46">
        <f t="shared" si="1"/>
        <v>9</v>
      </c>
      <c r="B54" s="76" t="s">
        <v>8</v>
      </c>
      <c r="C54" s="67" t="s">
        <v>8</v>
      </c>
      <c r="D54" s="76" t="s">
        <v>8</v>
      </c>
      <c r="E54" s="77" t="str">
        <f t="shared" si="2"/>
        <v/>
      </c>
      <c r="F54" s="77" t="str">
        <f t="shared" si="3"/>
        <v/>
      </c>
      <c r="G54" s="110" t="str">
        <f t="shared" si="4"/>
        <v/>
      </c>
      <c r="H54" s="110" t="str">
        <f t="shared" si="5"/>
        <v/>
      </c>
      <c r="I54" s="142" t="s">
        <v>8</v>
      </c>
      <c r="J54" s="160" t="str">
        <f t="shared" si="6"/>
        <v/>
      </c>
      <c r="K54" s="163" t="str">
        <f t="shared" si="7"/>
        <v/>
      </c>
      <c r="L54" s="135" t="str">
        <f t="shared" si="8"/>
        <v/>
      </c>
      <c r="M54" s="166"/>
      <c r="N54" s="136" t="str">
        <f t="shared" si="9"/>
        <v/>
      </c>
      <c r="O54" s="137"/>
      <c r="P54" s="169"/>
      <c r="Q54" s="138" t="str">
        <f t="shared" si="10"/>
        <v/>
      </c>
      <c r="R54" s="139" t="s">
        <v>8</v>
      </c>
      <c r="S54" s="140"/>
      <c r="T54" s="140"/>
      <c r="U54" s="141" t="s">
        <v>8</v>
      </c>
    </row>
    <row r="55" spans="1:21" s="4" customFormat="1" ht="18" customHeight="1">
      <c r="A55" s="46">
        <f t="shared" si="1"/>
        <v>10</v>
      </c>
      <c r="B55" s="76" t="s">
        <v>8</v>
      </c>
      <c r="C55" s="76" t="s">
        <v>8</v>
      </c>
      <c r="D55" s="76" t="s">
        <v>8</v>
      </c>
      <c r="E55" s="77" t="str">
        <f t="shared" si="2"/>
        <v/>
      </c>
      <c r="F55" s="77" t="str">
        <f t="shared" si="3"/>
        <v/>
      </c>
      <c r="G55" s="110" t="str">
        <f t="shared" si="4"/>
        <v/>
      </c>
      <c r="H55" s="110" t="str">
        <f t="shared" si="5"/>
        <v/>
      </c>
      <c r="I55" s="142" t="s">
        <v>8</v>
      </c>
      <c r="J55" s="160" t="str">
        <f t="shared" si="6"/>
        <v/>
      </c>
      <c r="K55" s="163" t="str">
        <f t="shared" si="7"/>
        <v/>
      </c>
      <c r="L55" s="135" t="str">
        <f t="shared" si="8"/>
        <v/>
      </c>
      <c r="M55" s="166"/>
      <c r="N55" s="136" t="str">
        <f t="shared" si="9"/>
        <v/>
      </c>
      <c r="O55" s="137"/>
      <c r="P55" s="169"/>
      <c r="Q55" s="138" t="str">
        <f t="shared" si="10"/>
        <v/>
      </c>
      <c r="R55" s="139" t="s">
        <v>8</v>
      </c>
      <c r="S55" s="140"/>
      <c r="T55" s="140"/>
      <c r="U55" s="141" t="s">
        <v>8</v>
      </c>
    </row>
    <row r="56" spans="1:21" s="4" customFormat="1" ht="18" customHeight="1">
      <c r="A56" s="46">
        <f t="shared" si="1"/>
        <v>11</v>
      </c>
      <c r="B56" s="76" t="s">
        <v>8</v>
      </c>
      <c r="C56" s="76" t="s">
        <v>8</v>
      </c>
      <c r="D56" s="76" t="s">
        <v>8</v>
      </c>
      <c r="E56" s="77" t="str">
        <f t="shared" si="2"/>
        <v/>
      </c>
      <c r="F56" s="77" t="str">
        <f t="shared" si="3"/>
        <v/>
      </c>
      <c r="G56" s="110" t="str">
        <f t="shared" si="4"/>
        <v/>
      </c>
      <c r="H56" s="110" t="str">
        <f t="shared" si="5"/>
        <v/>
      </c>
      <c r="I56" s="142" t="s">
        <v>8</v>
      </c>
      <c r="J56" s="160" t="str">
        <f t="shared" si="6"/>
        <v/>
      </c>
      <c r="K56" s="163" t="str">
        <f t="shared" si="7"/>
        <v/>
      </c>
      <c r="L56" s="135" t="str">
        <f t="shared" si="8"/>
        <v/>
      </c>
      <c r="M56" s="166"/>
      <c r="N56" s="136" t="str">
        <f t="shared" si="9"/>
        <v/>
      </c>
      <c r="O56" s="137"/>
      <c r="P56" s="169"/>
      <c r="Q56" s="138" t="str">
        <f t="shared" si="10"/>
        <v/>
      </c>
      <c r="R56" s="139" t="s">
        <v>8</v>
      </c>
      <c r="S56" s="140"/>
      <c r="T56" s="140"/>
      <c r="U56" s="141" t="s">
        <v>8</v>
      </c>
    </row>
    <row r="57" spans="1:21" s="4" customFormat="1" ht="18" customHeight="1">
      <c r="A57" s="46">
        <f t="shared" si="1"/>
        <v>12</v>
      </c>
      <c r="B57" s="67" t="s">
        <v>8</v>
      </c>
      <c r="C57" s="67" t="s">
        <v>8</v>
      </c>
      <c r="D57" s="67" t="s">
        <v>8</v>
      </c>
      <c r="E57" s="68" t="str">
        <f t="shared" si="2"/>
        <v/>
      </c>
      <c r="F57" s="68" t="str">
        <f t="shared" si="3"/>
        <v/>
      </c>
      <c r="G57" s="109" t="str">
        <f t="shared" si="4"/>
        <v/>
      </c>
      <c r="H57" s="110" t="str">
        <f t="shared" si="5"/>
        <v/>
      </c>
      <c r="I57" s="142" t="s">
        <v>8</v>
      </c>
      <c r="J57" s="160" t="str">
        <f t="shared" si="6"/>
        <v/>
      </c>
      <c r="K57" s="163" t="str">
        <f t="shared" si="7"/>
        <v/>
      </c>
      <c r="L57" s="135" t="str">
        <f t="shared" si="8"/>
        <v/>
      </c>
      <c r="M57" s="166"/>
      <c r="N57" s="136" t="str">
        <f t="shared" si="9"/>
        <v/>
      </c>
      <c r="O57" s="137"/>
      <c r="P57" s="169"/>
      <c r="Q57" s="138" t="str">
        <f t="shared" si="10"/>
        <v/>
      </c>
      <c r="R57" s="139" t="s">
        <v>8</v>
      </c>
      <c r="S57" s="140"/>
      <c r="T57" s="140"/>
      <c r="U57" s="141" t="s">
        <v>8</v>
      </c>
    </row>
    <row r="58" spans="1:21" s="4" customFormat="1" ht="18" customHeight="1">
      <c r="A58" s="46">
        <f t="shared" si="1"/>
        <v>13</v>
      </c>
      <c r="B58" s="67" t="s">
        <v>8</v>
      </c>
      <c r="C58" s="67" t="s">
        <v>8</v>
      </c>
      <c r="D58" s="67" t="s">
        <v>8</v>
      </c>
      <c r="E58" s="68" t="str">
        <f t="shared" si="2"/>
        <v/>
      </c>
      <c r="F58" s="68" t="str">
        <f t="shared" si="3"/>
        <v/>
      </c>
      <c r="G58" s="109" t="str">
        <f t="shared" si="4"/>
        <v/>
      </c>
      <c r="H58" s="110" t="str">
        <f t="shared" si="5"/>
        <v/>
      </c>
      <c r="I58" s="142" t="s">
        <v>8</v>
      </c>
      <c r="J58" s="160" t="str">
        <f t="shared" si="6"/>
        <v/>
      </c>
      <c r="K58" s="163" t="str">
        <f t="shared" si="7"/>
        <v/>
      </c>
      <c r="L58" s="135" t="str">
        <f t="shared" si="8"/>
        <v/>
      </c>
      <c r="M58" s="166"/>
      <c r="N58" s="136" t="str">
        <f t="shared" si="9"/>
        <v/>
      </c>
      <c r="O58" s="137"/>
      <c r="P58" s="169"/>
      <c r="Q58" s="138" t="str">
        <f t="shared" si="10"/>
        <v/>
      </c>
      <c r="R58" s="139" t="s">
        <v>8</v>
      </c>
      <c r="S58" s="140"/>
      <c r="T58" s="140"/>
      <c r="U58" s="141" t="s">
        <v>8</v>
      </c>
    </row>
    <row r="59" spans="1:21" s="4" customFormat="1" ht="18" customHeight="1">
      <c r="A59" s="46">
        <f t="shared" si="1"/>
        <v>14</v>
      </c>
      <c r="B59" s="67" t="s">
        <v>8</v>
      </c>
      <c r="C59" s="67" t="s">
        <v>8</v>
      </c>
      <c r="D59" s="67" t="s">
        <v>8</v>
      </c>
      <c r="E59" s="68" t="str">
        <f t="shared" si="2"/>
        <v/>
      </c>
      <c r="F59" s="68" t="str">
        <f t="shared" si="3"/>
        <v/>
      </c>
      <c r="G59" s="109" t="str">
        <f t="shared" si="4"/>
        <v/>
      </c>
      <c r="H59" s="109" t="str">
        <f t="shared" si="5"/>
        <v/>
      </c>
      <c r="I59" s="69" t="s">
        <v>8</v>
      </c>
      <c r="J59" s="160" t="str">
        <f t="shared" si="6"/>
        <v/>
      </c>
      <c r="K59" s="163" t="str">
        <f t="shared" si="7"/>
        <v/>
      </c>
      <c r="L59" s="135" t="str">
        <f t="shared" si="8"/>
        <v/>
      </c>
      <c r="M59" s="166"/>
      <c r="N59" s="136" t="str">
        <f t="shared" si="9"/>
        <v/>
      </c>
      <c r="O59" s="137"/>
      <c r="P59" s="169"/>
      <c r="Q59" s="138" t="str">
        <f t="shared" si="10"/>
        <v/>
      </c>
      <c r="R59" s="139" t="s">
        <v>8</v>
      </c>
      <c r="S59" s="140"/>
      <c r="T59" s="140"/>
      <c r="U59" s="141" t="s">
        <v>8</v>
      </c>
    </row>
    <row r="60" spans="1:21" s="4" customFormat="1" ht="18" customHeight="1">
      <c r="A60" s="46">
        <f t="shared" si="1"/>
        <v>15</v>
      </c>
      <c r="B60" s="67" t="s">
        <v>8</v>
      </c>
      <c r="C60" s="67" t="s">
        <v>8</v>
      </c>
      <c r="D60" s="67" t="s">
        <v>8</v>
      </c>
      <c r="E60" s="68" t="str">
        <f t="shared" si="2"/>
        <v/>
      </c>
      <c r="F60" s="68" t="str">
        <f t="shared" si="3"/>
        <v/>
      </c>
      <c r="G60" s="109" t="str">
        <f t="shared" si="4"/>
        <v/>
      </c>
      <c r="H60" s="109" t="str">
        <f t="shared" si="5"/>
        <v/>
      </c>
      <c r="I60" s="69" t="s">
        <v>8</v>
      </c>
      <c r="J60" s="160" t="str">
        <f t="shared" si="6"/>
        <v/>
      </c>
      <c r="K60" s="163" t="str">
        <f t="shared" si="7"/>
        <v/>
      </c>
      <c r="L60" s="135" t="str">
        <f t="shared" si="8"/>
        <v/>
      </c>
      <c r="M60" s="166"/>
      <c r="N60" s="136" t="str">
        <f t="shared" si="9"/>
        <v/>
      </c>
      <c r="O60" s="137"/>
      <c r="P60" s="169"/>
      <c r="Q60" s="138" t="str">
        <f t="shared" si="10"/>
        <v/>
      </c>
      <c r="R60" s="139" t="s">
        <v>8</v>
      </c>
      <c r="S60" s="140"/>
      <c r="T60" s="140"/>
      <c r="U60" s="141" t="s">
        <v>8</v>
      </c>
    </row>
    <row r="61" spans="1:21" s="4" customFormat="1" ht="18" customHeight="1">
      <c r="A61" s="46">
        <f t="shared" si="1"/>
        <v>16</v>
      </c>
      <c r="B61" s="67" t="s">
        <v>8</v>
      </c>
      <c r="C61" s="67" t="s">
        <v>8</v>
      </c>
      <c r="D61" s="67" t="s">
        <v>8</v>
      </c>
      <c r="E61" s="68" t="str">
        <f t="shared" si="2"/>
        <v/>
      </c>
      <c r="F61" s="68" t="str">
        <f t="shared" si="3"/>
        <v/>
      </c>
      <c r="G61" s="109" t="str">
        <f t="shared" si="4"/>
        <v/>
      </c>
      <c r="H61" s="109" t="str">
        <f t="shared" si="5"/>
        <v/>
      </c>
      <c r="I61" s="69" t="s">
        <v>8</v>
      </c>
      <c r="J61" s="160" t="str">
        <f t="shared" si="6"/>
        <v/>
      </c>
      <c r="K61" s="163" t="str">
        <f t="shared" si="7"/>
        <v/>
      </c>
      <c r="L61" s="135" t="str">
        <f t="shared" si="8"/>
        <v/>
      </c>
      <c r="M61" s="166"/>
      <c r="N61" s="136" t="str">
        <f t="shared" si="9"/>
        <v/>
      </c>
      <c r="O61" s="137"/>
      <c r="P61" s="169"/>
      <c r="Q61" s="138" t="str">
        <f t="shared" si="10"/>
        <v/>
      </c>
      <c r="R61" s="139" t="s">
        <v>8</v>
      </c>
      <c r="S61" s="140"/>
      <c r="T61" s="140"/>
      <c r="U61" s="141" t="s">
        <v>8</v>
      </c>
    </row>
    <row r="62" spans="1:21" s="4" customFormat="1" ht="18" customHeight="1">
      <c r="A62" s="46">
        <f t="shared" si="1"/>
        <v>17</v>
      </c>
      <c r="B62" s="67" t="s">
        <v>8</v>
      </c>
      <c r="C62" s="67" t="s">
        <v>8</v>
      </c>
      <c r="D62" s="67" t="s">
        <v>8</v>
      </c>
      <c r="E62" s="68" t="str">
        <f t="shared" si="2"/>
        <v/>
      </c>
      <c r="F62" s="68" t="str">
        <f t="shared" si="3"/>
        <v/>
      </c>
      <c r="G62" s="109" t="str">
        <f t="shared" si="4"/>
        <v/>
      </c>
      <c r="H62" s="109" t="str">
        <f t="shared" si="5"/>
        <v/>
      </c>
      <c r="I62" s="69" t="s">
        <v>8</v>
      </c>
      <c r="J62" s="160" t="str">
        <f t="shared" si="6"/>
        <v/>
      </c>
      <c r="K62" s="163" t="str">
        <f t="shared" si="7"/>
        <v/>
      </c>
      <c r="L62" s="135" t="str">
        <f t="shared" si="8"/>
        <v/>
      </c>
      <c r="M62" s="166"/>
      <c r="N62" s="136" t="str">
        <f t="shared" si="9"/>
        <v/>
      </c>
      <c r="O62" s="137"/>
      <c r="P62" s="169"/>
      <c r="Q62" s="138" t="str">
        <f t="shared" si="10"/>
        <v/>
      </c>
      <c r="R62" s="139" t="s">
        <v>8</v>
      </c>
      <c r="S62" s="140"/>
      <c r="T62" s="140"/>
      <c r="U62" s="141" t="s">
        <v>8</v>
      </c>
    </row>
    <row r="63" spans="1:21" s="4" customFormat="1" ht="18" customHeight="1">
      <c r="A63" s="46">
        <f t="shared" si="1"/>
        <v>18</v>
      </c>
      <c r="B63" s="67" t="s">
        <v>8</v>
      </c>
      <c r="C63" s="67" t="s">
        <v>8</v>
      </c>
      <c r="D63" s="67" t="s">
        <v>8</v>
      </c>
      <c r="E63" s="68" t="str">
        <f t="shared" si="2"/>
        <v/>
      </c>
      <c r="F63" s="68" t="str">
        <f t="shared" si="3"/>
        <v/>
      </c>
      <c r="G63" s="109" t="str">
        <f t="shared" si="4"/>
        <v/>
      </c>
      <c r="H63" s="109" t="str">
        <f t="shared" si="5"/>
        <v/>
      </c>
      <c r="I63" s="69" t="s">
        <v>8</v>
      </c>
      <c r="J63" s="160" t="str">
        <f t="shared" si="6"/>
        <v/>
      </c>
      <c r="K63" s="163" t="str">
        <f t="shared" si="7"/>
        <v/>
      </c>
      <c r="L63" s="135" t="str">
        <f t="shared" si="8"/>
        <v/>
      </c>
      <c r="M63" s="166"/>
      <c r="N63" s="136" t="str">
        <f t="shared" si="9"/>
        <v/>
      </c>
      <c r="O63" s="137"/>
      <c r="P63" s="169"/>
      <c r="Q63" s="138" t="str">
        <f t="shared" si="10"/>
        <v/>
      </c>
      <c r="R63" s="139" t="s">
        <v>8</v>
      </c>
      <c r="S63" s="140"/>
      <c r="T63" s="140"/>
      <c r="U63" s="141" t="s">
        <v>8</v>
      </c>
    </row>
    <row r="64" spans="1:21" s="4" customFormat="1" ht="18" customHeight="1">
      <c r="A64" s="46" t="s">
        <v>168</v>
      </c>
      <c r="B64" s="67" t="s">
        <v>169</v>
      </c>
      <c r="C64" s="67" t="s">
        <v>8</v>
      </c>
      <c r="D64" s="67" t="s">
        <v>8</v>
      </c>
      <c r="E64" s="68" t="s">
        <v>63</v>
      </c>
      <c r="F64" s="68">
        <v>1</v>
      </c>
      <c r="G64" s="109">
        <f>IF(AND(B64="",C64=""),"",ROUND(M64*L64,2))</f>
        <v>0</v>
      </c>
      <c r="H64" s="109">
        <f>ROUND(F64*G64, 2)</f>
        <v>0</v>
      </c>
      <c r="I64" s="69" t="s">
        <v>8</v>
      </c>
      <c r="J64" s="160"/>
      <c r="K64" s="163">
        <f>ROUND(F64*M64, 2)</f>
        <v>0</v>
      </c>
      <c r="L64" s="135">
        <v>1</v>
      </c>
      <c r="M64" s="166"/>
      <c r="N64" s="136"/>
      <c r="O64" s="137"/>
      <c r="P64" s="169"/>
      <c r="Q64" s="138" t="s">
        <v>169</v>
      </c>
      <c r="R64" s="139" t="s">
        <v>8</v>
      </c>
      <c r="S64" s="140"/>
      <c r="T64" s="140"/>
      <c r="U64" s="141" t="s">
        <v>8</v>
      </c>
    </row>
    <row r="65" spans="1:21" s="4" customFormat="1" ht="18" customHeight="1">
      <c r="A65" s="46" t="s">
        <v>170</v>
      </c>
      <c r="B65" s="67" t="s">
        <v>171</v>
      </c>
      <c r="C65" s="67" t="s">
        <v>8</v>
      </c>
      <c r="D65" s="67" t="s">
        <v>8</v>
      </c>
      <c r="E65" s="68" t="s">
        <v>63</v>
      </c>
      <c r="F65" s="68">
        <v>1</v>
      </c>
      <c r="G65" s="109">
        <f>IF(AND(B65="",C65=""),"",ROUND(M65*L65,2))</f>
        <v>0</v>
      </c>
      <c r="H65" s="109">
        <f>ROUND(F65*G65, 2)</f>
        <v>0</v>
      </c>
      <c r="I65" s="69" t="s">
        <v>8</v>
      </c>
      <c r="J65" s="160"/>
      <c r="K65" s="163">
        <f>ROUND(F65*M65, 2)</f>
        <v>0</v>
      </c>
      <c r="L65" s="135">
        <v>1</v>
      </c>
      <c r="M65" s="166"/>
      <c r="N65" s="136"/>
      <c r="O65" s="137"/>
      <c r="P65" s="169"/>
      <c r="Q65" s="138" t="s">
        <v>171</v>
      </c>
      <c r="R65" s="139" t="s">
        <v>8</v>
      </c>
      <c r="S65" s="140"/>
      <c r="T65" s="140"/>
      <c r="U65" s="141" t="s">
        <v>8</v>
      </c>
    </row>
    <row r="66" spans="1:21" s="4" customFormat="1" ht="18" customHeight="1">
      <c r="A66" s="46" t="s">
        <v>162</v>
      </c>
      <c r="B66" s="143" t="s">
        <v>37</v>
      </c>
      <c r="C66" s="144"/>
      <c r="D66" s="102"/>
      <c r="E66" s="77"/>
      <c r="F66" s="77"/>
      <c r="G66" s="110"/>
      <c r="H66" s="110">
        <f>ROUND(SUM(H45:INDEX(H:H,ROW()-1)),2)</f>
        <v>0</v>
      </c>
      <c r="I66" s="69" t="s">
        <v>8</v>
      </c>
      <c r="J66" s="160"/>
      <c r="K66" s="163">
        <f>ROUND(SUM(K45:INDEX(K:K,ROW()-1)),2)</f>
        <v>0</v>
      </c>
      <c r="L66" s="135"/>
      <c r="M66" s="166"/>
      <c r="N66" s="136"/>
      <c r="O66" s="137"/>
      <c r="P66" s="169"/>
      <c r="Q66" s="138"/>
      <c r="R66" s="139" t="s">
        <v>8</v>
      </c>
      <c r="S66" s="140">
        <f>ROUND(SUMPRODUCT(F45:INDEX(F:F,ROW()-1),S45:INDEX(S:S,ROW()-1)),2)</f>
        <v>0</v>
      </c>
      <c r="T66" s="140">
        <f>ROUND(SUMPRODUCT(F45:INDEX(F:F,ROW()-1),T45:INDEX(T:T,ROW()-1)),2)</f>
        <v>0</v>
      </c>
      <c r="U66" s="141" t="s">
        <v>8</v>
      </c>
    </row>
    <row r="67" spans="1:21" s="4" customFormat="1" ht="18" customHeight="1">
      <c r="A67" s="46" t="s">
        <v>163</v>
      </c>
      <c r="B67" s="143" t="s">
        <v>88</v>
      </c>
      <c r="C67" s="144"/>
      <c r="D67" s="102"/>
      <c r="E67" s="77" t="s">
        <v>63</v>
      </c>
      <c r="F67" s="77">
        <v>1</v>
      </c>
      <c r="G67" s="110">
        <f>IF(AND(B67="",C67=""),"",ROUND(M67*L67,2))</f>
        <v>0</v>
      </c>
      <c r="H67" s="110">
        <f>ROUND(F67*G67, 2)</f>
        <v>0</v>
      </c>
      <c r="I67" s="69" t="s">
        <v>8</v>
      </c>
      <c r="J67" s="160"/>
      <c r="K67" s="163">
        <f>ROUND(F67*J67, 2)</f>
        <v>0</v>
      </c>
      <c r="L67" s="135">
        <v>1.18</v>
      </c>
      <c r="M67" s="166">
        <f>ROUND(SUMPRODUCT(F46:INDEX(F:F,ROW()-1),S46:INDEX(S:S,ROW()-1)),2)</f>
        <v>0</v>
      </c>
      <c r="N67" s="136"/>
      <c r="O67" s="137"/>
      <c r="P67" s="169"/>
      <c r="Q67" s="138" t="s">
        <v>88</v>
      </c>
      <c r="R67" s="139" t="s">
        <v>8</v>
      </c>
      <c r="S67" s="140"/>
      <c r="T67" s="140"/>
      <c r="U67" s="141" t="s">
        <v>8</v>
      </c>
    </row>
    <row r="68" spans="1:21" s="4" customFormat="1" ht="18" customHeight="1">
      <c r="A68" s="46" t="s">
        <v>164</v>
      </c>
      <c r="B68" s="143" t="s">
        <v>165</v>
      </c>
      <c r="C68" s="144"/>
      <c r="D68" s="102"/>
      <c r="E68" s="77"/>
      <c r="F68" s="77"/>
      <c r="G68" s="110"/>
      <c r="H68" s="110">
        <f>ROUND((H66+H67)*0.1, 2)</f>
        <v>0</v>
      </c>
      <c r="I68" s="69" t="s">
        <v>8</v>
      </c>
      <c r="J68" s="160"/>
      <c r="K68" s="163"/>
      <c r="L68" s="135"/>
      <c r="M68" s="166"/>
      <c r="N68" s="136"/>
      <c r="O68" s="137"/>
      <c r="P68" s="169"/>
      <c r="Q68" s="138" t="s">
        <v>89</v>
      </c>
      <c r="R68" s="139" t="s">
        <v>8</v>
      </c>
      <c r="S68" s="140"/>
      <c r="T68" s="140"/>
      <c r="U68" s="141" t="s">
        <v>8</v>
      </c>
    </row>
    <row r="69" spans="1:21" s="4" customFormat="1" ht="18" customHeight="1">
      <c r="A69" s="46" t="s">
        <v>166</v>
      </c>
      <c r="B69" s="143" t="s">
        <v>90</v>
      </c>
      <c r="C69" s="144"/>
      <c r="D69" s="102"/>
      <c r="E69" s="77"/>
      <c r="F69" s="77"/>
      <c r="G69" s="110"/>
      <c r="H69" s="110">
        <f>ROUND(SUM(H66:H68)*0.13, 2)</f>
        <v>0</v>
      </c>
      <c r="I69" s="69" t="s">
        <v>8</v>
      </c>
      <c r="J69" s="160"/>
      <c r="K69" s="163"/>
      <c r="L69" s="135"/>
      <c r="M69" s="166"/>
      <c r="N69" s="136"/>
      <c r="O69" s="137"/>
      <c r="P69" s="169"/>
      <c r="Q69" s="138" t="s">
        <v>89</v>
      </c>
      <c r="R69" s="139" t="s">
        <v>8</v>
      </c>
      <c r="S69" s="140"/>
      <c r="T69" s="140"/>
      <c r="U69" s="141" t="s">
        <v>8</v>
      </c>
    </row>
    <row r="70" spans="1:21" s="4" customFormat="1" ht="18" customHeight="1">
      <c r="A70" s="46" t="s">
        <v>167</v>
      </c>
      <c r="B70" s="102" t="s">
        <v>86</v>
      </c>
      <c r="C70" s="144"/>
      <c r="D70" s="102"/>
      <c r="E70" s="77"/>
      <c r="F70" s="77"/>
      <c r="G70" s="110"/>
      <c r="H70" s="110">
        <f>ROUND(SUM(H66:H69), 2)</f>
        <v>0</v>
      </c>
      <c r="I70" s="145"/>
      <c r="J70" s="160"/>
      <c r="K70" s="163">
        <f>ROUND(SUM(K66:K69), 2)</f>
        <v>0</v>
      </c>
      <c r="L70" s="146"/>
      <c r="M70" s="166"/>
      <c r="N70" s="147"/>
      <c r="O70" s="148"/>
      <c r="P70" s="169"/>
      <c r="Q70" s="138"/>
      <c r="R70" s="139" t="s">
        <v>8</v>
      </c>
      <c r="S70" s="140"/>
      <c r="T70" s="140"/>
      <c r="U70" s="141" t="s">
        <v>8</v>
      </c>
    </row>
    <row r="71" spans="1:21" s="4" customFormat="1" ht="18" customHeight="1">
      <c r="A71" s="149" t="s">
        <v>87</v>
      </c>
      <c r="B71" s="150"/>
      <c r="C71" s="151"/>
      <c r="D71" s="152"/>
      <c r="E71" s="152" t="s">
        <v>63</v>
      </c>
      <c r="F71" s="152">
        <f>F7</f>
        <v>1</v>
      </c>
      <c r="G71" s="158">
        <f>ROUND(H70, 2)</f>
        <v>0</v>
      </c>
      <c r="H71" s="158">
        <f>ROUND(F71*G71, 2)</f>
        <v>0</v>
      </c>
      <c r="I71" s="153"/>
      <c r="J71" s="161"/>
      <c r="K71" s="164">
        <f>ROUND(K70*F71, 2)</f>
        <v>0</v>
      </c>
      <c r="L71" s="154"/>
      <c r="M71" s="167"/>
      <c r="N71" s="155"/>
      <c r="O71" s="156"/>
      <c r="P71" s="170"/>
      <c r="Q71" s="138"/>
      <c r="R71" s="139" t="s">
        <v>8</v>
      </c>
      <c r="S71" s="140"/>
      <c r="T71" s="140"/>
      <c r="U71" s="141" t="s">
        <v>8</v>
      </c>
    </row>
    <row r="72" spans="1:21" s="126" customFormat="1" ht="18" customHeight="1">
      <c r="A72" s="103"/>
      <c r="B72" s="124" t="s">
        <v>8</v>
      </c>
      <c r="C72" s="124" t="s">
        <v>8</v>
      </c>
      <c r="D72" s="124" t="s">
        <v>8</v>
      </c>
      <c r="Q72" s="5"/>
      <c r="R72" s="5"/>
      <c r="U72" s="124" t="s">
        <v>8</v>
      </c>
    </row>
    <row r="73" spans="1:21" s="126" customFormat="1" ht="18" customHeight="1">
      <c r="A73" s="103"/>
      <c r="B73" s="124" t="s">
        <v>8</v>
      </c>
      <c r="C73" s="124" t="s">
        <v>8</v>
      </c>
      <c r="D73" s="124" t="s">
        <v>8</v>
      </c>
      <c r="Q73" s="5"/>
      <c r="R73" s="5"/>
      <c r="U73" s="124" t="s">
        <v>8</v>
      </c>
    </row>
    <row r="74" spans="1:21" s="4" customFormat="1" ht="18" customHeight="1">
      <c r="B74" s="171" t="str" cm="1">
        <f t="array" aca="1" ref="B74" ca="1">CONCATENATE("报价人：", INDIRECT("项目信息!$B$8"))</f>
        <v>报价人：李四</v>
      </c>
      <c r="C74" s="126"/>
      <c r="D74" s="126"/>
      <c r="E74" s="126"/>
      <c r="F74" s="126"/>
      <c r="G74" s="126"/>
      <c r="H74" s="157" cm="1">
        <f t="array" aca="1" ref="H74" ca="1">INDIRECT("项目信息!$B$9")</f>
        <v>0</v>
      </c>
      <c r="Q74" s="5"/>
      <c r="R74" s="5"/>
      <c r="U74" s="133" t="s">
        <v>8</v>
      </c>
    </row>
    <row r="75" spans="1:21" ht="18" customHeight="1">
      <c r="A75" s="157"/>
    </row>
  </sheetData>
  <mergeCells count="13">
    <mergeCell ref="D44:E44"/>
    <mergeCell ref="G44:H44"/>
    <mergeCell ref="A2:I2"/>
    <mergeCell ref="A3:I3"/>
    <mergeCell ref="A4:I4"/>
    <mergeCell ref="A5:G5"/>
    <mergeCell ref="H5:I5"/>
    <mergeCell ref="C35:D35"/>
    <mergeCell ref="A36:A37"/>
    <mergeCell ref="B36:I37"/>
    <mergeCell ref="A41:I41"/>
    <mergeCell ref="A42:I42"/>
    <mergeCell ref="A43:I43"/>
  </mergeCells>
  <phoneticPr fontId="1" type="noConversion"/>
  <dataValidations disablePrompts="1" count="5">
    <dataValidation errorStyle="information" allowBlank="1" showInputMessage="1" showErrorMessage="1" prompt="表示有几个这样的分类/段，默认为1。箱变（或多个相同分类/段需翻倍）报价时，请在此处填写箱变台数或倍数。非以上情况，此处勿动。" sqref="F35" xr:uid="{F2166EE5-377C-4D35-92B6-EFD7FC978EEC}"/>
    <dataValidation type="list" allowBlank="1" showInputMessage="1" showErrorMessage="1" sqref="M44" xr:uid="{55157256-1DC2-4633-ADA5-D7CDFF2B9F20}">
      <formula1>"高压柜,低压固定柜,低压抽屉柜,动力柜,动力配电箱,控制配电箱,照明配电箱,电表箱,其它箱"</formula1>
    </dataValidation>
    <dataValidation type="list" allowBlank="1" showInputMessage="1" showErrorMessage="1" sqref="Q46:Q71" xr:uid="{BC2C2278-CE2F-438D-A110-F2CCB850C474}">
      <formula1>"元件,母排,辅料,箱体,费用"</formula1>
    </dataValidation>
    <dataValidation imeMode="on" allowBlank="1" showInputMessage="1" showErrorMessage="1" sqref="B46 D46:E46" xr:uid="{AE345051-3422-4E2D-8A31-745B42C09C0D}"/>
    <dataValidation type="list" allowBlank="1" showInputMessage="1" showErrorMessage="1" sqref="N7:N39" xr:uid="{CBFD9E8D-B398-4B2A-B6CF-8EA2C780EE14}">
      <formula1>"照明配电箱,动力配电箱,控制配电箱,电表箱,其它箱,动力柜,低压固定柜,低压抽屉柜,高压柜"</formula1>
    </dataValidation>
  </dataValidations>
  <hyperlinks>
    <hyperlink ref="A5:G5" location="项目信息!A29" display="项目信息!A29" xr:uid="{CE75005B-E606-4B3C-8176-67050F817366}"/>
    <hyperlink ref="A7" location="分类1!A44" tooltip="点击进入本箱柜明细表" display="分类1!A44" xr:uid="{DDC42E40-F310-45EE-B9A6-C09B752E21A3}"/>
    <hyperlink ref="A44" location="分类1!A7" tooltip="返回汇总行" display="分类1!A7" xr:uid="{F0933277-0ED6-4D4B-802E-BE39681BAD7D}"/>
  </hyperlinks>
  <pageMargins left="0.7" right="0.7" top="0.75" bottom="0.75" header="0.3" footer="0.3"/>
  <customProperties>
    <customPr name="SCMID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F8F8-878A-4798-8AFC-517D2311E176}">
  <dimension ref="A1:AC12"/>
  <sheetViews>
    <sheetView zoomScaleNormal="100" zoomScaleSheetLayoutView="100" workbookViewId="0">
      <selection activeCell="F12" sqref="F12"/>
    </sheetView>
  </sheetViews>
  <sheetFormatPr defaultRowHeight="14.25"/>
  <cols>
    <col min="1" max="1" width="4.375" style="223" customWidth="1"/>
    <col min="2" max="2" width="14.875" style="223" customWidth="1"/>
    <col min="3" max="3" width="34.625" style="223" customWidth="1"/>
    <col min="4" max="4" width="5.375" style="223" customWidth="1"/>
    <col min="5" max="5" width="5" style="223" customWidth="1"/>
    <col min="6" max="6" width="15.625" style="223" customWidth="1"/>
    <col min="7" max="7" width="10.5" style="227" customWidth="1"/>
    <col min="8" max="8" width="11.75" style="228" customWidth="1"/>
    <col min="9" max="10" width="8.75" style="223" customWidth="1"/>
    <col min="11" max="14" width="8.75" style="224" customWidth="1"/>
    <col min="15" max="18" width="9" style="198" customWidth="1"/>
    <col min="19" max="26" width="9" style="199"/>
    <col min="27" max="27" width="9" style="200"/>
    <col min="28" max="29" width="9" style="201" hidden="1" customWidth="1"/>
    <col min="30" max="16384" width="9" style="202"/>
  </cols>
  <sheetData>
    <row r="1" spans="1:29" ht="47.25" customHeight="1">
      <c r="A1" s="229" t="s">
        <v>125</v>
      </c>
      <c r="B1" s="194"/>
      <c r="C1" s="194"/>
      <c r="D1" s="194"/>
      <c r="E1" s="194"/>
      <c r="F1" s="194"/>
      <c r="G1" s="194"/>
      <c r="H1" s="195"/>
      <c r="I1" s="194"/>
      <c r="J1" s="196"/>
      <c r="K1" s="197"/>
      <c r="L1" s="197"/>
      <c r="M1" s="197"/>
      <c r="N1" s="197"/>
    </row>
    <row r="2" spans="1:29" ht="30" customHeight="1">
      <c r="A2" s="203" t="s">
        <v>124</v>
      </c>
      <c r="B2" s="203"/>
      <c r="C2" s="203"/>
      <c r="D2" s="203"/>
      <c r="E2" s="203"/>
      <c r="F2" s="203"/>
      <c r="G2" s="203"/>
      <c r="H2" s="204"/>
      <c r="I2" s="203"/>
      <c r="J2" s="205"/>
      <c r="K2" s="206"/>
      <c r="L2" s="206"/>
      <c r="M2" s="206"/>
      <c r="N2" s="206"/>
    </row>
    <row r="3" spans="1:29" ht="12" customHeight="1">
      <c r="A3" s="207"/>
      <c r="B3" s="207"/>
      <c r="C3" s="207"/>
      <c r="D3" s="207"/>
      <c r="E3" s="207"/>
      <c r="F3" s="207"/>
      <c r="G3" s="208"/>
      <c r="H3" s="209"/>
      <c r="I3" s="207"/>
      <c r="J3" s="210"/>
      <c r="K3" s="211"/>
      <c r="L3" s="211"/>
      <c r="M3" s="211"/>
      <c r="N3" s="211"/>
    </row>
    <row r="4" spans="1:29" s="219" customFormat="1">
      <c r="A4" s="212" t="s">
        <v>126</v>
      </c>
      <c r="B4" s="212"/>
      <c r="C4" s="213"/>
      <c r="D4" s="213"/>
      <c r="E4" s="212"/>
      <c r="F4" s="212"/>
      <c r="G4" s="212"/>
      <c r="H4" s="214"/>
      <c r="I4" s="212"/>
      <c r="J4" s="215"/>
      <c r="K4" s="216"/>
      <c r="L4" s="216"/>
      <c r="M4" s="216"/>
      <c r="N4" s="216"/>
      <c r="O4" s="216"/>
      <c r="P4" s="216"/>
      <c r="Q4" s="216"/>
      <c r="R4" s="216"/>
      <c r="S4" s="215"/>
      <c r="T4" s="215"/>
      <c r="U4" s="215"/>
      <c r="V4" s="215"/>
      <c r="W4" s="215"/>
      <c r="X4" s="215"/>
      <c r="Y4" s="215"/>
      <c r="Z4" s="215"/>
      <c r="AA4" s="217"/>
      <c r="AB4" s="218"/>
      <c r="AC4" s="218"/>
    </row>
    <row r="5" spans="1:29" customFormat="1" ht="16.899999999999999" customHeight="1">
      <c r="C5" s="1"/>
      <c r="D5" s="1"/>
    </row>
    <row r="6" spans="1:29" ht="16.899999999999999" customHeight="1">
      <c r="A6" s="220" t="s">
        <v>0</v>
      </c>
      <c r="B6" s="220" t="s">
        <v>118</v>
      </c>
      <c r="C6" s="220" t="s">
        <v>119</v>
      </c>
      <c r="D6" s="220" t="s">
        <v>46</v>
      </c>
      <c r="E6" s="220" t="s">
        <v>120</v>
      </c>
      <c r="F6" s="220" t="s">
        <v>121</v>
      </c>
      <c r="G6" s="221" t="s">
        <v>122</v>
      </c>
      <c r="H6" s="222" t="s">
        <v>123</v>
      </c>
      <c r="I6" s="220" t="s">
        <v>49</v>
      </c>
    </row>
    <row r="7" spans="1:29" ht="24.95" customHeight="1">
      <c r="A7" s="225"/>
      <c r="B7" s="225" t="s">
        <v>127</v>
      </c>
      <c r="C7" s="225" t="s">
        <v>128</v>
      </c>
      <c r="D7" s="225" t="s">
        <v>129</v>
      </c>
      <c r="E7" s="225" t="s">
        <v>130</v>
      </c>
      <c r="F7" s="225"/>
      <c r="G7" s="226"/>
      <c r="H7" s="226"/>
      <c r="I7" s="225" t="s">
        <v>131</v>
      </c>
    </row>
    <row r="8" spans="1:29" ht="24.95" customHeight="1">
      <c r="A8" s="225"/>
      <c r="B8" s="225"/>
      <c r="C8" s="225"/>
      <c r="D8" s="225"/>
      <c r="E8" s="225"/>
      <c r="F8" s="225"/>
      <c r="G8" s="226"/>
      <c r="H8" s="226"/>
      <c r="I8" s="225"/>
    </row>
    <row r="9" spans="1:29" ht="24.95" customHeight="1">
      <c r="A9" s="225"/>
      <c r="B9" s="225"/>
      <c r="C9" s="225"/>
      <c r="D9" s="225"/>
      <c r="E9" s="225"/>
      <c r="F9" s="225"/>
      <c r="G9" s="226"/>
      <c r="H9" s="226"/>
      <c r="I9" s="225"/>
    </row>
    <row r="10" spans="1:29" ht="24.95" customHeight="1">
      <c r="A10" s="225"/>
      <c r="B10" s="225"/>
      <c r="C10" s="225"/>
      <c r="D10" s="225"/>
      <c r="E10" s="225"/>
      <c r="F10" s="225"/>
      <c r="G10" s="226"/>
      <c r="H10" s="226"/>
      <c r="I10" s="225"/>
    </row>
    <row r="11" spans="1:29" ht="24.95" customHeight="1">
      <c r="A11" s="225"/>
      <c r="B11" s="225"/>
      <c r="C11" s="225"/>
      <c r="D11" s="225"/>
      <c r="E11" s="225"/>
      <c r="F11" s="225"/>
      <c r="G11" s="226"/>
      <c r="H11" s="226"/>
      <c r="I11" s="225"/>
    </row>
    <row r="12" spans="1:29" ht="24.95" customHeight="1">
      <c r="A12" s="225"/>
      <c r="B12" s="225"/>
      <c r="C12" s="225"/>
      <c r="D12" s="225"/>
      <c r="E12" s="225"/>
      <c r="F12" s="225"/>
      <c r="G12" s="226"/>
      <c r="H12" s="226"/>
      <c r="I12" s="225"/>
    </row>
  </sheetData>
  <dataConsolidate/>
  <phoneticPr fontId="1" type="noConversion"/>
  <pageMargins left="0.39370078740157483" right="0.39370078740157483" top="0.98425196850393704" bottom="0.98425196850393704" header="0.51181102362204722" footer="0.51181102362204722"/>
  <pageSetup paperSize="9" scale="97" orientation="portrait" horizontalDpi="300" verticalDpi="300" r:id="rId1"/>
  <headerFooter alignWithMargins="0">
    <oddFooter>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2E83-8D75-45D5-99A4-19975F907CE1}">
  <dimension ref="A1:H31"/>
  <sheetViews>
    <sheetView view="pageBreakPreview" zoomScale="85" zoomScaleNormal="85" zoomScaleSheetLayoutView="100" workbookViewId="0">
      <selection activeCell="K7" sqref="K7"/>
    </sheetView>
  </sheetViews>
  <sheetFormatPr defaultRowHeight="14.25"/>
  <cols>
    <col min="1" max="1" width="5.5" style="202" customWidth="1"/>
    <col min="2" max="2" width="9.125" style="202" customWidth="1"/>
    <col min="3" max="3" width="23.25" style="230" customWidth="1"/>
    <col min="4" max="5" width="7.5" style="202" customWidth="1"/>
    <col min="6" max="6" width="12.625" style="231" customWidth="1"/>
    <col min="7" max="7" width="16.375" style="231" customWidth="1"/>
    <col min="8" max="8" width="14.625" style="202" customWidth="1"/>
    <col min="9" max="16384" width="9" style="202"/>
  </cols>
  <sheetData>
    <row r="1" spans="1:8">
      <c r="A1" s="202" t="s">
        <v>132</v>
      </c>
    </row>
    <row r="2" spans="1:8" ht="31.5">
      <c r="A2" s="305" t="s">
        <v>156</v>
      </c>
      <c r="B2" s="305"/>
      <c r="C2" s="305"/>
      <c r="D2" s="305"/>
      <c r="E2" s="305"/>
      <c r="F2" s="305"/>
      <c r="G2" s="305"/>
    </row>
    <row r="3" spans="1:8" ht="31.5">
      <c r="A3" s="305" t="s">
        <v>133</v>
      </c>
      <c r="B3" s="305"/>
      <c r="C3" s="305"/>
      <c r="D3" s="305"/>
      <c r="E3" s="305"/>
      <c r="F3" s="305"/>
      <c r="G3" s="305"/>
    </row>
    <row r="4" spans="1:8">
      <c r="A4" s="232" t="s">
        <v>134</v>
      </c>
      <c r="B4" s="230"/>
      <c r="D4" s="230"/>
      <c r="E4" s="230"/>
      <c r="F4" s="233"/>
      <c r="G4" s="233"/>
    </row>
    <row r="5" spans="1:8">
      <c r="A5" s="306" t="s">
        <v>145</v>
      </c>
      <c r="B5" s="306"/>
      <c r="C5" s="306"/>
      <c r="D5" s="306"/>
      <c r="E5" s="306"/>
      <c r="F5" s="306"/>
      <c r="G5" s="306"/>
    </row>
    <row r="6" spans="1:8" ht="20.100000000000001" customHeight="1">
      <c r="A6" s="234" t="s">
        <v>0</v>
      </c>
      <c r="B6" s="234" t="s">
        <v>118</v>
      </c>
      <c r="C6" s="234" t="s">
        <v>135</v>
      </c>
      <c r="D6" s="234" t="s">
        <v>47</v>
      </c>
      <c r="E6" s="234" t="s">
        <v>46</v>
      </c>
      <c r="F6" s="235" t="s">
        <v>136</v>
      </c>
      <c r="G6" s="235" t="s">
        <v>137</v>
      </c>
      <c r="H6" s="234" t="s">
        <v>49</v>
      </c>
    </row>
    <row r="7" spans="1:8" ht="36.6" customHeight="1">
      <c r="A7" s="236" t="s">
        <v>146</v>
      </c>
      <c r="B7" s="234" t="s">
        <v>147</v>
      </c>
      <c r="C7" s="237" t="s">
        <v>148</v>
      </c>
      <c r="D7" s="234" t="s">
        <v>130</v>
      </c>
      <c r="E7" s="234" t="s">
        <v>96</v>
      </c>
      <c r="F7" s="235" t="s">
        <v>149</v>
      </c>
      <c r="G7" s="235"/>
      <c r="H7" s="234"/>
    </row>
    <row r="8" spans="1:8" ht="36.6" customHeight="1">
      <c r="A8" s="236"/>
      <c r="B8" s="234"/>
      <c r="C8" s="237"/>
      <c r="D8" s="234"/>
      <c r="E8" s="234"/>
      <c r="F8" s="235"/>
      <c r="G8" s="235"/>
      <c r="H8" s="234"/>
    </row>
    <row r="9" spans="1:8" ht="20.100000000000001" customHeight="1">
      <c r="A9" s="236"/>
      <c r="B9" s="234"/>
      <c r="C9" s="237"/>
      <c r="D9" s="234"/>
      <c r="E9" s="234"/>
      <c r="F9" s="235"/>
      <c r="G9" s="235"/>
      <c r="H9" s="234"/>
    </row>
    <row r="10" spans="1:8" ht="20.100000000000001" customHeight="1">
      <c r="A10" s="238"/>
      <c r="B10" s="239"/>
      <c r="C10" s="239"/>
      <c r="D10" s="239"/>
      <c r="E10" s="239"/>
      <c r="F10" s="240"/>
      <c r="G10" s="240"/>
      <c r="H10" s="239"/>
    </row>
    <row r="11" spans="1:8" ht="20.100000000000001" customHeight="1">
      <c r="A11" s="238"/>
      <c r="B11" s="239"/>
      <c r="C11" s="239"/>
      <c r="D11" s="239"/>
      <c r="E11" s="239"/>
      <c r="F11" s="240"/>
      <c r="G11" s="240"/>
      <c r="H11" s="239"/>
    </row>
    <row r="12" spans="1:8" ht="20.100000000000001" customHeight="1">
      <c r="A12" s="238"/>
      <c r="B12" s="239"/>
      <c r="C12" s="239"/>
      <c r="D12" s="239"/>
      <c r="E12" s="239"/>
      <c r="F12" s="240"/>
      <c r="G12" s="240"/>
      <c r="H12" s="239"/>
    </row>
    <row r="13" spans="1:8" ht="20.100000000000001" customHeight="1">
      <c r="A13" s="241"/>
      <c r="B13" s="241" t="s">
        <v>139</v>
      </c>
      <c r="C13" s="241"/>
      <c r="D13" s="241">
        <f>SUM(D6:D12)</f>
        <v>0</v>
      </c>
      <c r="E13" s="241" t="s">
        <v>140</v>
      </c>
      <c r="F13" s="242"/>
      <c r="G13" s="242">
        <f>ROUND(SUM(G6:G12),0)</f>
        <v>0</v>
      </c>
      <c r="H13" s="243"/>
    </row>
    <row r="14" spans="1:8" s="245" customFormat="1" ht="20.100000000000001" customHeight="1">
      <c r="A14" s="307" t="str">
        <f>"合计RMB："&amp; TEXT(SUBSTITUTE(IF(G13="","",IF(MOD(G13,1)=0,TEXT(INT(G13),"[DBNum2][$-804]G/通用格式元整"),(TEXT(INT(G13),"[DBNum2][$-804]G/通用格式元")&amp;TEXT((INT(G13*10)-INT(G13)*10),"[DBNum2][$-804]G/通用格式角")&amp;TEXT((INT(G13*100)-INT(G13*10)*10),"[DBNum2][$-804]G/通用格式分")))),"零角","零"),)</f>
        <v>合计RMB：零元整</v>
      </c>
      <c r="B14" s="307"/>
      <c r="C14" s="307"/>
      <c r="D14" s="307"/>
      <c r="E14" s="307"/>
      <c r="F14" s="307"/>
      <c r="G14" s="307"/>
      <c r="H14" s="244"/>
    </row>
    <row r="15" spans="1:8" ht="20.100000000000001" customHeight="1"/>
    <row r="16" spans="1:8" ht="20.100000000000001" customHeight="1">
      <c r="A16" s="202" t="s">
        <v>141</v>
      </c>
    </row>
    <row r="17" spans="1:7" ht="20.100000000000001" customHeight="1">
      <c r="F17" s="230"/>
      <c r="G17" s="202"/>
    </row>
    <row r="18" spans="1:7" ht="20.100000000000001" customHeight="1">
      <c r="F18" s="246"/>
      <c r="G18" s="246"/>
    </row>
    <row r="19" spans="1:7" ht="20.100000000000001" customHeight="1">
      <c r="F19" s="202"/>
      <c r="G19" s="202"/>
    </row>
    <row r="20" spans="1:7" ht="20.100000000000001" customHeight="1"/>
    <row r="21" spans="1:7" ht="20.100000000000001" customHeight="1"/>
    <row r="22" spans="1:7" ht="20.100000000000001" customHeight="1"/>
    <row r="23" spans="1:7" ht="20.100000000000001" customHeight="1">
      <c r="D23" s="230"/>
    </row>
    <row r="24" spans="1:7" ht="20.100000000000001" customHeight="1">
      <c r="D24" s="230"/>
    </row>
    <row r="25" spans="1:7" ht="20.100000000000001" customHeight="1"/>
    <row r="26" spans="1:7" ht="20.100000000000001" customHeight="1"/>
    <row r="27" spans="1:7" ht="20.100000000000001" customHeight="1"/>
    <row r="28" spans="1:7" ht="20.100000000000001" customHeight="1"/>
    <row r="29" spans="1:7" s="230" customFormat="1" ht="20.100000000000001" customHeight="1">
      <c r="A29" s="202"/>
      <c r="B29" s="202"/>
      <c r="D29" s="202"/>
      <c r="E29" s="202"/>
      <c r="F29" s="231"/>
      <c r="G29" s="231"/>
    </row>
    <row r="30" spans="1:7" ht="20.100000000000001" customHeight="1"/>
    <row r="31" spans="1:7" ht="20.100000000000001" customHeight="1"/>
  </sheetData>
  <mergeCells count="4">
    <mergeCell ref="A2:G2"/>
    <mergeCell ref="A3:G3"/>
    <mergeCell ref="A5:G5"/>
    <mergeCell ref="A14:G14"/>
  </mergeCells>
  <phoneticPr fontId="1" type="noConversion"/>
  <pageMargins left="0.25" right="0.25" top="0.75" bottom="0.75" header="0.3" footer="0.3"/>
  <pageSetup paperSize="9"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982B-B631-4E68-8B11-E0B2E3DE60A9}">
  <dimension ref="A1:J23"/>
  <sheetViews>
    <sheetView zoomScale="85" zoomScaleNormal="85" zoomScaleSheetLayoutView="85" workbookViewId="0">
      <selection activeCell="L8" sqref="L8"/>
    </sheetView>
  </sheetViews>
  <sheetFormatPr defaultRowHeight="14.25"/>
  <cols>
    <col min="1" max="1" width="5.5" style="202" customWidth="1"/>
    <col min="2" max="2" width="9.125" style="202" customWidth="1"/>
    <col min="3" max="3" width="23.25" style="230" customWidth="1"/>
    <col min="4" max="5" width="7.5" style="202" customWidth="1"/>
    <col min="6" max="6" width="10.25" style="202" customWidth="1"/>
    <col min="7" max="7" width="13.875" style="202" customWidth="1"/>
    <col min="8" max="8" width="20.625" style="231" customWidth="1"/>
    <col min="9" max="9" width="14.625" style="202" customWidth="1"/>
    <col min="10" max="16384" width="9" style="202"/>
  </cols>
  <sheetData>
    <row r="1" spans="1:9">
      <c r="A1" s="202" t="s">
        <v>132</v>
      </c>
    </row>
    <row r="2" spans="1:9" ht="31.5">
      <c r="A2" s="305" t="s">
        <v>156</v>
      </c>
      <c r="B2" s="305"/>
      <c r="C2" s="305"/>
      <c r="D2" s="305"/>
      <c r="E2" s="305"/>
      <c r="F2" s="305"/>
      <c r="G2" s="305"/>
      <c r="H2" s="305"/>
      <c r="I2" s="230"/>
    </row>
    <row r="3" spans="1:9" ht="31.5">
      <c r="A3" s="305" t="s">
        <v>142</v>
      </c>
      <c r="B3" s="305"/>
      <c r="C3" s="305"/>
      <c r="D3" s="305"/>
      <c r="E3" s="305"/>
      <c r="F3" s="305"/>
      <c r="G3" s="305"/>
      <c r="H3" s="305"/>
      <c r="I3" s="230"/>
    </row>
    <row r="4" spans="1:9">
      <c r="A4" s="232" t="s">
        <v>143</v>
      </c>
      <c r="B4" s="230"/>
      <c r="D4" s="230"/>
      <c r="E4" s="230"/>
      <c r="F4" s="230"/>
      <c r="G4" s="230"/>
      <c r="H4" s="233"/>
    </row>
    <row r="5" spans="1:9">
      <c r="A5" s="306" t="str">
        <f>[1]报价明细!A4</f>
        <v>项目名称：GZ460</v>
      </c>
      <c r="B5" s="306"/>
      <c r="C5" s="306"/>
      <c r="D5" s="306"/>
      <c r="E5" s="306"/>
      <c r="F5" s="306"/>
      <c r="G5" s="306"/>
      <c r="H5" s="306"/>
    </row>
    <row r="6" spans="1:9" ht="20.100000000000001" customHeight="1">
      <c r="A6" s="234" t="s">
        <v>0</v>
      </c>
      <c r="B6" s="234" t="s">
        <v>118</v>
      </c>
      <c r="C6" s="234" t="s">
        <v>135</v>
      </c>
      <c r="D6" s="234" t="s">
        <v>47</v>
      </c>
      <c r="E6" s="234" t="s">
        <v>46</v>
      </c>
      <c r="F6" s="234" t="s">
        <v>152</v>
      </c>
      <c r="G6" s="234" t="s">
        <v>150</v>
      </c>
      <c r="H6" s="235" t="s">
        <v>151</v>
      </c>
      <c r="I6" s="234" t="s">
        <v>49</v>
      </c>
    </row>
    <row r="7" spans="1:9" ht="36.6" customHeight="1">
      <c r="A7" s="236" t="s">
        <v>146</v>
      </c>
      <c r="B7" s="234" t="s">
        <v>138</v>
      </c>
      <c r="C7" s="237" t="s">
        <v>148</v>
      </c>
      <c r="D7" s="234" t="s">
        <v>130</v>
      </c>
      <c r="E7" s="234" t="s">
        <v>96</v>
      </c>
      <c r="F7" s="234" t="s">
        <v>153</v>
      </c>
      <c r="G7" s="234" t="s">
        <v>154</v>
      </c>
      <c r="H7" s="235"/>
      <c r="I7" s="234" t="s">
        <v>155</v>
      </c>
    </row>
    <row r="8" spans="1:9" ht="36.6" customHeight="1">
      <c r="A8" s="236"/>
      <c r="B8" s="234"/>
      <c r="C8" s="237"/>
      <c r="D8" s="234"/>
      <c r="E8" s="234"/>
      <c r="F8" s="234"/>
      <c r="G8" s="234"/>
      <c r="H8" s="235"/>
      <c r="I8" s="234"/>
    </row>
    <row r="9" spans="1:9" ht="20.100000000000001" customHeight="1">
      <c r="A9" s="236"/>
      <c r="B9" s="234"/>
      <c r="C9" s="237"/>
      <c r="D9" s="234"/>
      <c r="E9" s="234"/>
      <c r="F9" s="234"/>
      <c r="G9" s="234"/>
      <c r="H9" s="235"/>
      <c r="I9" s="234"/>
    </row>
    <row r="10" spans="1:9" ht="20.100000000000001" customHeight="1">
      <c r="A10" s="238"/>
      <c r="B10" s="239"/>
      <c r="C10" s="239"/>
      <c r="D10" s="239"/>
      <c r="E10" s="239"/>
      <c r="F10" s="239"/>
      <c r="G10" s="239"/>
      <c r="H10" s="240"/>
      <c r="I10" s="239"/>
    </row>
    <row r="11" spans="1:9" ht="20.100000000000001" customHeight="1">
      <c r="A11" s="238"/>
      <c r="B11" s="239"/>
      <c r="C11" s="239"/>
      <c r="D11" s="239"/>
      <c r="E11" s="239"/>
      <c r="F11" s="239"/>
      <c r="G11" s="239"/>
      <c r="H11" s="240"/>
      <c r="I11" s="239"/>
    </row>
    <row r="12" spans="1:9" ht="20.100000000000001" customHeight="1">
      <c r="A12" s="238"/>
      <c r="B12" s="239"/>
      <c r="C12" s="239"/>
      <c r="D12" s="239"/>
      <c r="E12" s="239"/>
      <c r="F12" s="239"/>
      <c r="G12" s="239"/>
      <c r="H12" s="240"/>
      <c r="I12" s="239"/>
    </row>
    <row r="13" spans="1:9" ht="20.100000000000001" customHeight="1">
      <c r="A13" s="241"/>
      <c r="B13" s="241" t="s">
        <v>139</v>
      </c>
      <c r="C13" s="241"/>
      <c r="D13" s="241">
        <f>SUM(D6:D12)</f>
        <v>0</v>
      </c>
      <c r="E13" s="241" t="s">
        <v>140</v>
      </c>
      <c r="F13" s="241"/>
      <c r="G13" s="241"/>
      <c r="H13" s="242">
        <f>ROUND(SUM(H6:H12),0)</f>
        <v>0</v>
      </c>
      <c r="I13" s="243"/>
    </row>
    <row r="14" spans="1:9" ht="20.100000000000001" customHeight="1"/>
    <row r="15" spans="1:9" ht="20.100000000000001" customHeight="1">
      <c r="A15" s="202" t="s">
        <v>144</v>
      </c>
    </row>
    <row r="16" spans="1:9" ht="20.100000000000001" customHeight="1">
      <c r="H16" s="202"/>
    </row>
    <row r="17" spans="1:10" ht="20.100000000000001" customHeight="1"/>
    <row r="18" spans="1:10" ht="20.100000000000001" customHeight="1">
      <c r="C18" s="202"/>
      <c r="E18" s="230"/>
      <c r="F18" s="230"/>
      <c r="G18" s="230"/>
      <c r="H18" s="202"/>
      <c r="J18" s="231"/>
    </row>
    <row r="19" spans="1:10" ht="20.100000000000001" customHeight="1">
      <c r="C19" s="202"/>
      <c r="E19" s="230"/>
      <c r="F19" s="230"/>
      <c r="G19" s="230"/>
      <c r="H19" s="202"/>
      <c r="J19" s="231"/>
    </row>
    <row r="20" spans="1:10" ht="20.100000000000001" customHeight="1">
      <c r="C20" s="202"/>
      <c r="E20" s="230"/>
      <c r="F20" s="230"/>
      <c r="G20" s="230"/>
      <c r="H20" s="202"/>
      <c r="J20" s="231"/>
    </row>
    <row r="21" spans="1:10" s="230" customFormat="1" ht="20.100000000000001" customHeight="1">
      <c r="A21" s="202"/>
      <c r="B21" s="202"/>
      <c r="D21" s="202"/>
      <c r="E21" s="202"/>
      <c r="F21" s="202"/>
      <c r="G21" s="202"/>
      <c r="H21" s="231"/>
    </row>
    <row r="22" spans="1:10" ht="20.100000000000001" customHeight="1"/>
    <row r="23" spans="1:10" ht="20.100000000000001" customHeight="1"/>
  </sheetData>
  <mergeCells count="3">
    <mergeCell ref="A2:H2"/>
    <mergeCell ref="A3:H3"/>
    <mergeCell ref="A5:H5"/>
  </mergeCells>
  <phoneticPr fontId="1" type="noConversion"/>
  <pageMargins left="0.25" right="0.25" top="0.75" bottom="0.75" header="0.3" footer="0.3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9</vt:i4>
      </vt:variant>
    </vt:vector>
  </HeadingPairs>
  <TitlesOfParts>
    <vt:vector size="15" baseType="lpstr">
      <vt:lpstr>领料清单</vt:lpstr>
      <vt:lpstr>项目信息</vt:lpstr>
      <vt:lpstr>分类1</vt:lpstr>
      <vt:lpstr>采购清单</vt:lpstr>
      <vt:lpstr>人工清单</vt:lpstr>
      <vt:lpstr>成品交接单</vt:lpstr>
      <vt:lpstr>分类1!Cab_Det_1</vt:lpstr>
      <vt:lpstr>Cab_Det_1</vt:lpstr>
      <vt:lpstr>分类1!Cab_Subsum_1</vt:lpstr>
      <vt:lpstr>Cab_Subsum_1</vt:lpstr>
      <vt:lpstr>分类1!Cab_Sum_1</vt:lpstr>
      <vt:lpstr>Cab_Sum_1</vt:lpstr>
      <vt:lpstr>分类1!Cab_Tolsum_1</vt:lpstr>
      <vt:lpstr>Cab_Tolsum_1</vt:lpstr>
      <vt:lpstr>领料清单!Print_Area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zxllql</dc:creator>
  <cp:lastModifiedBy>鑫 吴</cp:lastModifiedBy>
  <dcterms:created xsi:type="dcterms:W3CDTF">2016-07-08T03:08:07Z</dcterms:created>
  <dcterms:modified xsi:type="dcterms:W3CDTF">2026-10-20T01:47:48Z</dcterms:modified>
</cp:coreProperties>
</file>